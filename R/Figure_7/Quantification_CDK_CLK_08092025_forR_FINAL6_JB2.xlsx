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bovic/Downloads/"/>
    </mc:Choice>
  </mc:AlternateContent>
  <xr:revisionPtr revIDLastSave="0" documentId="13_ncr:1_{AB0B4F9C-1F2D-644E-A290-5FF2495FDADB}" xr6:coauthVersionLast="47" xr6:coauthVersionMax="47" xr10:uidLastSave="{00000000-0000-0000-0000-000000000000}"/>
  <bookViews>
    <workbookView xWindow="0" yWindow="700" windowWidth="27040" windowHeight="16860" xr2:uid="{FDCA12EE-F73F-8747-9B15-10B56D9DB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Q42" i="1" l="1"/>
  <c r="HL42" i="1"/>
  <c r="HO42" i="1" s="1"/>
  <c r="HQ41" i="1"/>
  <c r="HL41" i="1"/>
  <c r="HO41" i="1" s="1"/>
  <c r="IR40" i="1"/>
  <c r="IM40" i="1"/>
  <c r="IP40" i="1" s="1"/>
  <c r="HQ40" i="1"/>
  <c r="HL40" i="1"/>
  <c r="HO40" i="1" s="1"/>
  <c r="IR39" i="1"/>
  <c r="IM39" i="1"/>
  <c r="IP39" i="1" s="1"/>
  <c r="HU39" i="1"/>
  <c r="HX39" i="1" s="1"/>
  <c r="HQ39" i="1"/>
  <c r="HL39" i="1"/>
  <c r="HO39" i="1" s="1"/>
  <c r="IR38" i="1"/>
  <c r="IM38" i="1"/>
  <c r="IP38" i="1" s="1"/>
  <c r="HU38" i="1"/>
  <c r="HX38" i="1" s="1"/>
  <c r="HQ38" i="1"/>
  <c r="HL38" i="1"/>
  <c r="HO38" i="1" s="1"/>
  <c r="IR37" i="1"/>
  <c r="IM37" i="1"/>
  <c r="IP37" i="1" s="1"/>
  <c r="HU37" i="1"/>
  <c r="HX37" i="1" s="1"/>
  <c r="HQ37" i="1"/>
  <c r="HL37" i="1"/>
  <c r="HO37" i="1" s="1"/>
  <c r="IR36" i="1"/>
  <c r="IM36" i="1"/>
  <c r="IP36" i="1" s="1"/>
  <c r="HU36" i="1"/>
  <c r="HX36" i="1" s="1"/>
  <c r="HQ36" i="1"/>
  <c r="HL36" i="1"/>
  <c r="HO36" i="1" s="1"/>
  <c r="IR35" i="1"/>
  <c r="IM35" i="1"/>
  <c r="IP35" i="1" s="1"/>
  <c r="HU35" i="1"/>
  <c r="HX35" i="1" s="1"/>
  <c r="HQ35" i="1"/>
  <c r="HL35" i="1"/>
  <c r="HO35" i="1" s="1"/>
  <c r="IR34" i="1"/>
  <c r="IM34" i="1"/>
  <c r="IP34" i="1" s="1"/>
  <c r="HU34" i="1"/>
  <c r="HX34" i="1" s="1"/>
  <c r="HQ34" i="1"/>
  <c r="HL34" i="1"/>
  <c r="HO34" i="1" s="1"/>
  <c r="IR33" i="1"/>
  <c r="IM33" i="1"/>
  <c r="IP33" i="1" s="1"/>
  <c r="II33" i="1"/>
  <c r="ID33" i="1"/>
  <c r="IG33" i="1" s="1"/>
  <c r="HZ33" i="1"/>
  <c r="HU33" i="1"/>
  <c r="HX33" i="1" s="1"/>
  <c r="HQ33" i="1"/>
  <c r="HL33" i="1"/>
  <c r="HO33" i="1" s="1"/>
  <c r="IR32" i="1"/>
  <c r="IM32" i="1"/>
  <c r="IP32" i="1" s="1"/>
  <c r="II32" i="1"/>
  <c r="IG32" i="1"/>
  <c r="ID32" i="1"/>
  <c r="HZ32" i="1"/>
  <c r="HU32" i="1"/>
  <c r="HX32" i="1" s="1"/>
  <c r="HQ32" i="1"/>
  <c r="HL32" i="1"/>
  <c r="HO32" i="1" s="1"/>
  <c r="JJ31" i="1"/>
  <c r="JE31" i="1"/>
  <c r="JH31" i="1" s="1"/>
  <c r="JA31" i="1"/>
  <c r="IV31" i="1"/>
  <c r="IY31" i="1" s="1"/>
  <c r="IR31" i="1"/>
  <c r="IM31" i="1"/>
  <c r="IP31" i="1" s="1"/>
  <c r="II31" i="1"/>
  <c r="IG31" i="1"/>
  <c r="ID31" i="1"/>
  <c r="HZ31" i="1"/>
  <c r="HU31" i="1"/>
  <c r="HX31" i="1" s="1"/>
  <c r="HQ31" i="1"/>
  <c r="HL31" i="1"/>
  <c r="HO31" i="1" s="1"/>
  <c r="GP31" i="1"/>
  <c r="GK31" i="1"/>
  <c r="GN31" i="1" s="1"/>
  <c r="GG31" i="1"/>
  <c r="GB31" i="1"/>
  <c r="GE31" i="1" s="1"/>
  <c r="JJ30" i="1"/>
  <c r="JE30" i="1"/>
  <c r="JH30" i="1" s="1"/>
  <c r="JA30" i="1"/>
  <c r="IV30" i="1"/>
  <c r="IY30" i="1" s="1"/>
  <c r="IR30" i="1"/>
  <c r="IM30" i="1"/>
  <c r="IP30" i="1" s="1"/>
  <c r="II30" i="1"/>
  <c r="IG30" i="1"/>
  <c r="ID30" i="1"/>
  <c r="HZ30" i="1"/>
  <c r="HU30" i="1"/>
  <c r="HX30" i="1" s="1"/>
  <c r="HQ30" i="1"/>
  <c r="HO30" i="1"/>
  <c r="HL30" i="1"/>
  <c r="GP30" i="1"/>
  <c r="GK30" i="1"/>
  <c r="GN30" i="1" s="1"/>
  <c r="GG30" i="1"/>
  <c r="GB30" i="1"/>
  <c r="GE30" i="1" s="1"/>
  <c r="JJ29" i="1"/>
  <c r="JE29" i="1"/>
  <c r="JH29" i="1" s="1"/>
  <c r="JA29" i="1"/>
  <c r="IV29" i="1"/>
  <c r="IY29" i="1" s="1"/>
  <c r="IR29" i="1"/>
  <c r="IM29" i="1"/>
  <c r="IP29" i="1" s="1"/>
  <c r="II29" i="1"/>
  <c r="ID29" i="1"/>
  <c r="IG29" i="1" s="1"/>
  <c r="HZ29" i="1"/>
  <c r="HU29" i="1"/>
  <c r="HX29" i="1" s="1"/>
  <c r="HQ29" i="1"/>
  <c r="HL29" i="1"/>
  <c r="HO29" i="1" s="1"/>
  <c r="GP29" i="1"/>
  <c r="GK29" i="1"/>
  <c r="GN29" i="1" s="1"/>
  <c r="GG29" i="1"/>
  <c r="GB29" i="1"/>
  <c r="GE29" i="1" s="1"/>
  <c r="JJ28" i="1"/>
  <c r="JE28" i="1"/>
  <c r="JH28" i="1" s="1"/>
  <c r="JA28" i="1"/>
  <c r="IV28" i="1"/>
  <c r="IY28" i="1" s="1"/>
  <c r="IR28" i="1"/>
  <c r="IM28" i="1"/>
  <c r="IP28" i="1" s="1"/>
  <c r="II28" i="1"/>
  <c r="ID28" i="1"/>
  <c r="IG28" i="1" s="1"/>
  <c r="HZ28" i="1"/>
  <c r="HU28" i="1"/>
  <c r="HX28" i="1" s="1"/>
  <c r="HQ28" i="1"/>
  <c r="HL28" i="1"/>
  <c r="HO28" i="1" s="1"/>
  <c r="GY28" i="1"/>
  <c r="GT28" i="1"/>
  <c r="GW28" i="1" s="1"/>
  <c r="GP28" i="1"/>
  <c r="GK28" i="1"/>
  <c r="GN28" i="1" s="1"/>
  <c r="GG28" i="1"/>
  <c r="GB28" i="1"/>
  <c r="GE28" i="1" s="1"/>
  <c r="JJ27" i="1"/>
  <c r="JE27" i="1"/>
  <c r="JH27" i="1" s="1"/>
  <c r="JA27" i="1"/>
  <c r="IV27" i="1"/>
  <c r="IY27" i="1" s="1"/>
  <c r="IR27" i="1"/>
  <c r="IM27" i="1"/>
  <c r="IP27" i="1" s="1"/>
  <c r="II27" i="1"/>
  <c r="ID27" i="1"/>
  <c r="IG27" i="1" s="1"/>
  <c r="HZ27" i="1"/>
  <c r="HU27" i="1"/>
  <c r="HX27" i="1" s="1"/>
  <c r="HQ27" i="1"/>
  <c r="HL27" i="1"/>
  <c r="HO27" i="1" s="1"/>
  <c r="GY27" i="1"/>
  <c r="GT27" i="1"/>
  <c r="GW27" i="1" s="1"/>
  <c r="GP27" i="1"/>
  <c r="GK27" i="1"/>
  <c r="GN27" i="1" s="1"/>
  <c r="GG27" i="1"/>
  <c r="GB27" i="1"/>
  <c r="GE27" i="1" s="1"/>
  <c r="JJ26" i="1"/>
  <c r="JE26" i="1"/>
  <c r="JH26" i="1" s="1"/>
  <c r="JA26" i="1"/>
  <c r="IY26" i="1"/>
  <c r="IV26" i="1"/>
  <c r="IR26" i="1"/>
  <c r="IP26" i="1"/>
  <c r="IM26" i="1"/>
  <c r="II26" i="1"/>
  <c r="ID26" i="1"/>
  <c r="IG26" i="1" s="1"/>
  <c r="HZ26" i="1"/>
  <c r="HU26" i="1"/>
  <c r="HX26" i="1" s="1"/>
  <c r="HQ26" i="1"/>
  <c r="HL26" i="1"/>
  <c r="HO26" i="1" s="1"/>
  <c r="GY26" i="1"/>
  <c r="GT26" i="1"/>
  <c r="GW26" i="1" s="1"/>
  <c r="GP26" i="1"/>
  <c r="GK26" i="1"/>
  <c r="GN26" i="1" s="1"/>
  <c r="GG26" i="1"/>
  <c r="GB26" i="1"/>
  <c r="GE26" i="1" s="1"/>
  <c r="FO26" i="1"/>
  <c r="FM26" i="1"/>
  <c r="FJ26" i="1"/>
  <c r="JJ25" i="1"/>
  <c r="JE25" i="1"/>
  <c r="JH25" i="1" s="1"/>
  <c r="JA25" i="1"/>
  <c r="IV25" i="1"/>
  <c r="IY25" i="1" s="1"/>
  <c r="IR25" i="1"/>
  <c r="IM25" i="1"/>
  <c r="IP25" i="1" s="1"/>
  <c r="II25" i="1"/>
  <c r="ID25" i="1"/>
  <c r="IG25" i="1" s="1"/>
  <c r="HZ25" i="1"/>
  <c r="HU25" i="1"/>
  <c r="HX25" i="1" s="1"/>
  <c r="HQ25" i="1"/>
  <c r="HL25" i="1"/>
  <c r="HO25" i="1" s="1"/>
  <c r="GY25" i="1"/>
  <c r="GT25" i="1"/>
  <c r="GW25" i="1" s="1"/>
  <c r="GP25" i="1"/>
  <c r="GK25" i="1"/>
  <c r="GN25" i="1" s="1"/>
  <c r="GG25" i="1"/>
  <c r="GB25" i="1"/>
  <c r="GE25" i="1" s="1"/>
  <c r="FO25" i="1"/>
  <c r="FJ25" i="1"/>
  <c r="FM25" i="1" s="1"/>
  <c r="JJ24" i="1"/>
  <c r="JE24" i="1"/>
  <c r="JH24" i="1" s="1"/>
  <c r="JA24" i="1"/>
  <c r="IV24" i="1"/>
  <c r="IY24" i="1" s="1"/>
  <c r="IR24" i="1"/>
  <c r="IM24" i="1"/>
  <c r="IP24" i="1" s="1"/>
  <c r="II24" i="1"/>
  <c r="ID24" i="1"/>
  <c r="IG24" i="1" s="1"/>
  <c r="HZ24" i="1"/>
  <c r="HU24" i="1"/>
  <c r="HX24" i="1" s="1"/>
  <c r="HQ24" i="1"/>
  <c r="HL24" i="1"/>
  <c r="HO24" i="1" s="1"/>
  <c r="HH24" i="1"/>
  <c r="HC24" i="1"/>
  <c r="HF24" i="1" s="1"/>
  <c r="GY24" i="1"/>
  <c r="GW24" i="1"/>
  <c r="GT24" i="1"/>
  <c r="GP24" i="1"/>
  <c r="GK24" i="1"/>
  <c r="GN24" i="1" s="1"/>
  <c r="GG24" i="1"/>
  <c r="GB24" i="1"/>
  <c r="GE24" i="1" s="1"/>
  <c r="FO24" i="1"/>
  <c r="FJ24" i="1"/>
  <c r="FM24" i="1" s="1"/>
  <c r="JJ23" i="1"/>
  <c r="JE23" i="1"/>
  <c r="JH23" i="1" s="1"/>
  <c r="JA23" i="1"/>
  <c r="IV23" i="1"/>
  <c r="IY23" i="1" s="1"/>
  <c r="IR23" i="1"/>
  <c r="IM23" i="1"/>
  <c r="IP23" i="1" s="1"/>
  <c r="II23" i="1"/>
  <c r="ID23" i="1"/>
  <c r="IG23" i="1" s="1"/>
  <c r="HZ23" i="1"/>
  <c r="HX23" i="1"/>
  <c r="HU23" i="1"/>
  <c r="HQ23" i="1"/>
  <c r="HL23" i="1"/>
  <c r="HO23" i="1" s="1"/>
  <c r="HH23" i="1"/>
  <c r="HC23" i="1"/>
  <c r="HF23" i="1" s="1"/>
  <c r="GY23" i="1"/>
  <c r="GT23" i="1"/>
  <c r="GW23" i="1" s="1"/>
  <c r="GP23" i="1"/>
  <c r="GK23" i="1"/>
  <c r="GN23" i="1" s="1"/>
  <c r="GG23" i="1"/>
  <c r="GB23" i="1"/>
  <c r="GE23" i="1" s="1"/>
  <c r="FO23" i="1"/>
  <c r="FJ23" i="1"/>
  <c r="FM23" i="1" s="1"/>
  <c r="JJ22" i="1"/>
  <c r="JE22" i="1"/>
  <c r="JH22" i="1" s="1"/>
  <c r="JA22" i="1"/>
  <c r="IV22" i="1"/>
  <c r="IY22" i="1" s="1"/>
  <c r="IR22" i="1"/>
  <c r="IM22" i="1"/>
  <c r="IP22" i="1" s="1"/>
  <c r="II22" i="1"/>
  <c r="ID22" i="1"/>
  <c r="IG22" i="1" s="1"/>
  <c r="HZ22" i="1"/>
  <c r="HU22" i="1"/>
  <c r="HX22" i="1" s="1"/>
  <c r="HQ22" i="1"/>
  <c r="HO22" i="1"/>
  <c r="HL22" i="1"/>
  <c r="HH22" i="1"/>
  <c r="HC22" i="1"/>
  <c r="HF22" i="1" s="1"/>
  <c r="GY22" i="1"/>
  <c r="GT22" i="1"/>
  <c r="GW22" i="1" s="1"/>
  <c r="GP22" i="1"/>
  <c r="GK22" i="1"/>
  <c r="GN22" i="1" s="1"/>
  <c r="GG22" i="1"/>
  <c r="GB22" i="1"/>
  <c r="GE22" i="1" s="1"/>
  <c r="FO22" i="1"/>
  <c r="FJ22" i="1"/>
  <c r="FM22" i="1" s="1"/>
  <c r="JJ21" i="1"/>
  <c r="JE21" i="1"/>
  <c r="JH21" i="1" s="1"/>
  <c r="JA21" i="1"/>
  <c r="IV21" i="1"/>
  <c r="IY21" i="1" s="1"/>
  <c r="IR21" i="1"/>
  <c r="IM21" i="1"/>
  <c r="IP21" i="1" s="1"/>
  <c r="II21" i="1"/>
  <c r="ID21" i="1"/>
  <c r="IG21" i="1" s="1"/>
  <c r="HZ21" i="1"/>
  <c r="HU21" i="1"/>
  <c r="HX21" i="1" s="1"/>
  <c r="HQ21" i="1"/>
  <c r="HL21" i="1"/>
  <c r="HO21" i="1" s="1"/>
  <c r="HH21" i="1"/>
  <c r="HC21" i="1"/>
  <c r="HF21" i="1" s="1"/>
  <c r="GY21" i="1"/>
  <c r="GT21" i="1"/>
  <c r="GW21" i="1" s="1"/>
  <c r="GP21" i="1"/>
  <c r="GK21" i="1"/>
  <c r="GN21" i="1" s="1"/>
  <c r="GG21" i="1"/>
  <c r="GB21" i="1"/>
  <c r="GE21" i="1" s="1"/>
  <c r="FX21" i="1"/>
  <c r="FV21" i="1"/>
  <c r="FS21" i="1"/>
  <c r="FO21" i="1"/>
  <c r="FJ21" i="1"/>
  <c r="FM21" i="1" s="1"/>
  <c r="JJ20" i="1"/>
  <c r="JE20" i="1"/>
  <c r="JH20" i="1" s="1"/>
  <c r="JA20" i="1"/>
  <c r="IY20" i="1"/>
  <c r="IV20" i="1"/>
  <c r="IR20" i="1"/>
  <c r="IP20" i="1"/>
  <c r="IM20" i="1"/>
  <c r="II20" i="1"/>
  <c r="ID20" i="1"/>
  <c r="IG20" i="1" s="1"/>
  <c r="HZ20" i="1"/>
  <c r="HU20" i="1"/>
  <c r="HX20" i="1" s="1"/>
  <c r="HQ20" i="1"/>
  <c r="HL20" i="1"/>
  <c r="HO20" i="1" s="1"/>
  <c r="HH20" i="1"/>
  <c r="HC20" i="1"/>
  <c r="HF20" i="1" s="1"/>
  <c r="GY20" i="1"/>
  <c r="GT20" i="1"/>
  <c r="GW20" i="1" s="1"/>
  <c r="GP20" i="1"/>
  <c r="GK20" i="1"/>
  <c r="GN20" i="1" s="1"/>
  <c r="GG20" i="1"/>
  <c r="GB20" i="1"/>
  <c r="GE20" i="1" s="1"/>
  <c r="FX20" i="1"/>
  <c r="FS20" i="1"/>
  <c r="FV20" i="1" s="1"/>
  <c r="FO20" i="1"/>
  <c r="FJ20" i="1"/>
  <c r="FM20" i="1" s="1"/>
  <c r="JJ19" i="1"/>
  <c r="JE19" i="1"/>
  <c r="JH19" i="1" s="1"/>
  <c r="JA19" i="1"/>
  <c r="IV19" i="1"/>
  <c r="IY19" i="1" s="1"/>
  <c r="IR19" i="1"/>
  <c r="IP19" i="1"/>
  <c r="IM19" i="1"/>
  <c r="II19" i="1"/>
  <c r="ID19" i="1"/>
  <c r="IG19" i="1" s="1"/>
  <c r="HZ19" i="1"/>
  <c r="HU19" i="1"/>
  <c r="HX19" i="1" s="1"/>
  <c r="HQ19" i="1"/>
  <c r="HO19" i="1"/>
  <c r="HL19" i="1"/>
  <c r="HH19" i="1"/>
  <c r="HF19" i="1"/>
  <c r="HC19" i="1"/>
  <c r="GY19" i="1"/>
  <c r="GT19" i="1"/>
  <c r="GW19" i="1" s="1"/>
  <c r="GP19" i="1"/>
  <c r="GK19" i="1"/>
  <c r="GN19" i="1" s="1"/>
  <c r="GG19" i="1"/>
  <c r="GB19" i="1"/>
  <c r="GE19" i="1" s="1"/>
  <c r="FX19" i="1"/>
  <c r="FS19" i="1"/>
  <c r="FV19" i="1" s="1"/>
  <c r="FO19" i="1"/>
  <c r="FJ19" i="1"/>
  <c r="FM19" i="1" s="1"/>
  <c r="JJ18" i="1"/>
  <c r="JE18" i="1"/>
  <c r="JH18" i="1" s="1"/>
  <c r="JA18" i="1"/>
  <c r="IV18" i="1"/>
  <c r="IY18" i="1" s="1"/>
  <c r="IR18" i="1"/>
  <c r="IM18" i="1"/>
  <c r="IP18" i="1" s="1"/>
  <c r="II18" i="1"/>
  <c r="ID18" i="1"/>
  <c r="IG18" i="1" s="1"/>
  <c r="HZ18" i="1"/>
  <c r="HU18" i="1"/>
  <c r="HX18" i="1" s="1"/>
  <c r="HQ18" i="1"/>
  <c r="HL18" i="1"/>
  <c r="HO18" i="1" s="1"/>
  <c r="HH18" i="1"/>
  <c r="HF18" i="1"/>
  <c r="HC18" i="1"/>
  <c r="GY18" i="1"/>
  <c r="GT18" i="1"/>
  <c r="GW18" i="1" s="1"/>
  <c r="GP18" i="1"/>
  <c r="GK18" i="1"/>
  <c r="GN18" i="1" s="1"/>
  <c r="GG18" i="1"/>
  <c r="GB18" i="1"/>
  <c r="GE18" i="1" s="1"/>
  <c r="FX18" i="1"/>
  <c r="FS18" i="1"/>
  <c r="FV18" i="1" s="1"/>
  <c r="FO18" i="1"/>
  <c r="FJ18" i="1"/>
  <c r="FM18" i="1" s="1"/>
  <c r="JJ17" i="1"/>
  <c r="JE17" i="1"/>
  <c r="JH17" i="1" s="1"/>
  <c r="JA17" i="1"/>
  <c r="IV17" i="1"/>
  <c r="IY17" i="1" s="1"/>
  <c r="IR17" i="1"/>
  <c r="IM17" i="1"/>
  <c r="IP17" i="1" s="1"/>
  <c r="II17" i="1"/>
  <c r="ID17" i="1"/>
  <c r="IG17" i="1" s="1"/>
  <c r="HZ17" i="1"/>
  <c r="HU17" i="1"/>
  <c r="HX17" i="1" s="1"/>
  <c r="HQ17" i="1"/>
  <c r="HL17" i="1"/>
  <c r="HO17" i="1" s="1"/>
  <c r="HH17" i="1"/>
  <c r="HC17" i="1"/>
  <c r="HF17" i="1" s="1"/>
  <c r="GY17" i="1"/>
  <c r="GT17" i="1"/>
  <c r="GW17" i="1" s="1"/>
  <c r="GP17" i="1"/>
  <c r="GN17" i="1"/>
  <c r="GK17" i="1"/>
  <c r="GG17" i="1"/>
  <c r="GB17" i="1"/>
  <c r="GE17" i="1" s="1"/>
  <c r="FX17" i="1"/>
  <c r="FS17" i="1"/>
  <c r="FV17" i="1" s="1"/>
  <c r="FO17" i="1"/>
  <c r="FJ17" i="1"/>
  <c r="FM17" i="1" s="1"/>
  <c r="JJ16" i="1"/>
  <c r="JE16" i="1"/>
  <c r="JH16" i="1" s="1"/>
  <c r="JA16" i="1"/>
  <c r="IV16" i="1"/>
  <c r="IY16" i="1" s="1"/>
  <c r="IR16" i="1"/>
  <c r="IM16" i="1"/>
  <c r="IP16" i="1" s="1"/>
  <c r="II16" i="1"/>
  <c r="ID16" i="1"/>
  <c r="IG16" i="1" s="1"/>
  <c r="HZ16" i="1"/>
  <c r="HU16" i="1"/>
  <c r="HX16" i="1" s="1"/>
  <c r="HQ16" i="1"/>
  <c r="HL16" i="1"/>
  <c r="HO16" i="1" s="1"/>
  <c r="HH16" i="1"/>
  <c r="HC16" i="1"/>
  <c r="HF16" i="1" s="1"/>
  <c r="GY16" i="1"/>
  <c r="GT16" i="1"/>
  <c r="GW16" i="1" s="1"/>
  <c r="GP16" i="1"/>
  <c r="GK16" i="1"/>
  <c r="GN16" i="1" s="1"/>
  <c r="GG16" i="1"/>
  <c r="GB16" i="1"/>
  <c r="GE16" i="1" s="1"/>
  <c r="FX16" i="1"/>
  <c r="FS16" i="1"/>
  <c r="FV16" i="1" s="1"/>
  <c r="FO16" i="1"/>
  <c r="FJ16" i="1"/>
  <c r="FM16" i="1" s="1"/>
  <c r="JJ15" i="1"/>
  <c r="JE15" i="1"/>
  <c r="JH15" i="1" s="1"/>
  <c r="JA15" i="1"/>
  <c r="IV15" i="1"/>
  <c r="IY15" i="1" s="1"/>
  <c r="IR15" i="1"/>
  <c r="IM15" i="1"/>
  <c r="IP15" i="1" s="1"/>
  <c r="II15" i="1"/>
  <c r="ID15" i="1"/>
  <c r="IG15" i="1" s="1"/>
  <c r="HZ15" i="1"/>
  <c r="HU15" i="1"/>
  <c r="HX15" i="1" s="1"/>
  <c r="HQ15" i="1"/>
  <c r="HL15" i="1"/>
  <c r="HO15" i="1" s="1"/>
  <c r="HH15" i="1"/>
  <c r="HC15" i="1"/>
  <c r="HF15" i="1" s="1"/>
  <c r="GY15" i="1"/>
  <c r="GT15" i="1"/>
  <c r="GW15" i="1" s="1"/>
  <c r="GP15" i="1"/>
  <c r="GK15" i="1"/>
  <c r="GN15" i="1" s="1"/>
  <c r="GG15" i="1"/>
  <c r="GB15" i="1"/>
  <c r="GE15" i="1" s="1"/>
  <c r="FX15" i="1"/>
  <c r="FS15" i="1"/>
  <c r="FV15" i="1" s="1"/>
  <c r="FO15" i="1"/>
  <c r="FJ15" i="1"/>
  <c r="FM15" i="1" s="1"/>
  <c r="JJ14" i="1"/>
  <c r="JE14" i="1"/>
  <c r="JH14" i="1" s="1"/>
  <c r="JA14" i="1"/>
  <c r="IV14" i="1"/>
  <c r="IY14" i="1" s="1"/>
  <c r="IR14" i="1"/>
  <c r="IM14" i="1"/>
  <c r="IP14" i="1" s="1"/>
  <c r="II14" i="1"/>
  <c r="ID14" i="1"/>
  <c r="IG14" i="1" s="1"/>
  <c r="HZ14" i="1"/>
  <c r="HU14" i="1"/>
  <c r="HX14" i="1" s="1"/>
  <c r="HQ14" i="1"/>
  <c r="HL14" i="1"/>
  <c r="HO14" i="1" s="1"/>
  <c r="HH14" i="1"/>
  <c r="HC14" i="1"/>
  <c r="HF14" i="1" s="1"/>
  <c r="GY14" i="1"/>
  <c r="GT14" i="1"/>
  <c r="GW14" i="1" s="1"/>
  <c r="GP14" i="1"/>
  <c r="GK14" i="1"/>
  <c r="GN14" i="1" s="1"/>
  <c r="GG14" i="1"/>
  <c r="GB14" i="1"/>
  <c r="GE14" i="1" s="1"/>
  <c r="FX14" i="1"/>
  <c r="FS14" i="1"/>
  <c r="FV14" i="1" s="1"/>
  <c r="FO14" i="1"/>
  <c r="FJ14" i="1"/>
  <c r="FM14" i="1" s="1"/>
  <c r="JJ13" i="1"/>
  <c r="JE13" i="1"/>
  <c r="JH13" i="1" s="1"/>
  <c r="JA13" i="1"/>
  <c r="IV13" i="1"/>
  <c r="IY13" i="1" s="1"/>
  <c r="IR13" i="1"/>
  <c r="IM13" i="1"/>
  <c r="IP13" i="1" s="1"/>
  <c r="II13" i="1"/>
  <c r="ID13" i="1"/>
  <c r="IG13" i="1" s="1"/>
  <c r="HZ13" i="1"/>
  <c r="HU13" i="1"/>
  <c r="HX13" i="1" s="1"/>
  <c r="HQ13" i="1"/>
  <c r="HL13" i="1"/>
  <c r="HO13" i="1" s="1"/>
  <c r="HH13" i="1"/>
  <c r="HC13" i="1"/>
  <c r="HF13" i="1" s="1"/>
  <c r="GY13" i="1"/>
  <c r="GT13" i="1"/>
  <c r="GW13" i="1" s="1"/>
  <c r="GP13" i="1"/>
  <c r="GK13" i="1"/>
  <c r="GN13" i="1" s="1"/>
  <c r="GG13" i="1"/>
  <c r="GB13" i="1"/>
  <c r="GE13" i="1" s="1"/>
  <c r="FX13" i="1"/>
  <c r="FS13" i="1"/>
  <c r="FV13" i="1" s="1"/>
  <c r="FO13" i="1"/>
  <c r="FJ13" i="1"/>
  <c r="FM13" i="1" s="1"/>
  <c r="JJ12" i="1"/>
  <c r="JE12" i="1"/>
  <c r="JH12" i="1" s="1"/>
  <c r="JA12" i="1"/>
  <c r="IY12" i="1"/>
  <c r="IV12" i="1"/>
  <c r="IR12" i="1"/>
  <c r="IM12" i="1"/>
  <c r="IP12" i="1" s="1"/>
  <c r="II12" i="1"/>
  <c r="ID12" i="1"/>
  <c r="IG12" i="1" s="1"/>
  <c r="HZ12" i="1"/>
  <c r="HU12" i="1"/>
  <c r="HX12" i="1" s="1"/>
  <c r="HQ12" i="1"/>
  <c r="HL12" i="1"/>
  <c r="HO12" i="1" s="1"/>
  <c r="HH12" i="1"/>
  <c r="HC12" i="1"/>
  <c r="HF12" i="1" s="1"/>
  <c r="GY12" i="1"/>
  <c r="GT12" i="1"/>
  <c r="GW12" i="1" s="1"/>
  <c r="GP12" i="1"/>
  <c r="GK12" i="1"/>
  <c r="GN12" i="1" s="1"/>
  <c r="GG12" i="1"/>
  <c r="GB12" i="1"/>
  <c r="GE12" i="1" s="1"/>
  <c r="FX12" i="1"/>
  <c r="FS12" i="1"/>
  <c r="FV12" i="1" s="1"/>
  <c r="FO12" i="1"/>
  <c r="FJ12" i="1"/>
  <c r="FM12" i="1" s="1"/>
  <c r="JJ11" i="1"/>
  <c r="JE11" i="1"/>
  <c r="JH11" i="1" s="1"/>
  <c r="JA11" i="1"/>
  <c r="IV11" i="1"/>
  <c r="IY11" i="1" s="1"/>
  <c r="IR11" i="1"/>
  <c r="IM11" i="1"/>
  <c r="IP11" i="1" s="1"/>
  <c r="II11" i="1"/>
  <c r="ID11" i="1"/>
  <c r="IG11" i="1" s="1"/>
  <c r="HZ11" i="1"/>
  <c r="HX11" i="1"/>
  <c r="HU11" i="1"/>
  <c r="HQ11" i="1"/>
  <c r="HL11" i="1"/>
  <c r="HO11" i="1" s="1"/>
  <c r="HH11" i="1"/>
  <c r="HC11" i="1"/>
  <c r="HF11" i="1" s="1"/>
  <c r="GY11" i="1"/>
  <c r="GT11" i="1"/>
  <c r="GW11" i="1" s="1"/>
  <c r="GP11" i="1"/>
  <c r="GK11" i="1"/>
  <c r="GN11" i="1" s="1"/>
  <c r="GG11" i="1"/>
  <c r="GB11" i="1"/>
  <c r="GE11" i="1" s="1"/>
  <c r="FX11" i="1"/>
  <c r="FS11" i="1"/>
  <c r="FV11" i="1" s="1"/>
  <c r="FO11" i="1"/>
  <c r="FJ11" i="1"/>
  <c r="FM11" i="1" s="1"/>
  <c r="JJ10" i="1"/>
  <c r="JE10" i="1"/>
  <c r="JH10" i="1" s="1"/>
  <c r="JA10" i="1"/>
  <c r="IV10" i="1"/>
  <c r="IY10" i="1" s="1"/>
  <c r="IR10" i="1"/>
  <c r="IM10" i="1"/>
  <c r="IP10" i="1" s="1"/>
  <c r="II10" i="1"/>
  <c r="ID10" i="1"/>
  <c r="IG10" i="1" s="1"/>
  <c r="HZ10" i="1"/>
  <c r="HU10" i="1"/>
  <c r="HX10" i="1" s="1"/>
  <c r="HQ10" i="1"/>
  <c r="HL10" i="1"/>
  <c r="HO10" i="1" s="1"/>
  <c r="HH10" i="1"/>
  <c r="HC10" i="1"/>
  <c r="HF10" i="1" s="1"/>
  <c r="GY10" i="1"/>
  <c r="GT10" i="1"/>
  <c r="GW10" i="1" s="1"/>
  <c r="GP10" i="1"/>
  <c r="GN10" i="1"/>
  <c r="GK10" i="1"/>
  <c r="GG10" i="1"/>
  <c r="GB10" i="1"/>
  <c r="GE10" i="1" s="1"/>
  <c r="FX10" i="1"/>
  <c r="FS10" i="1"/>
  <c r="FV10" i="1" s="1"/>
  <c r="FO10" i="1"/>
  <c r="FJ10" i="1"/>
  <c r="FM10" i="1" s="1"/>
  <c r="JJ9" i="1"/>
  <c r="JE9" i="1"/>
  <c r="JH9" i="1" s="1"/>
  <c r="JA9" i="1"/>
  <c r="IV9" i="1"/>
  <c r="IY9" i="1" s="1"/>
  <c r="IR9" i="1"/>
  <c r="IM9" i="1"/>
  <c r="IP9" i="1" s="1"/>
  <c r="II9" i="1"/>
  <c r="ID9" i="1"/>
  <c r="IG9" i="1" s="1"/>
  <c r="HZ9" i="1"/>
  <c r="HU9" i="1"/>
  <c r="HX9" i="1" s="1"/>
  <c r="HQ9" i="1"/>
  <c r="HL9" i="1"/>
  <c r="HO9" i="1" s="1"/>
  <c r="HH9" i="1"/>
  <c r="HC9" i="1"/>
  <c r="HF9" i="1" s="1"/>
  <c r="GY9" i="1"/>
  <c r="GT9" i="1"/>
  <c r="GW9" i="1" s="1"/>
  <c r="GP9" i="1"/>
  <c r="GK9" i="1"/>
  <c r="GN9" i="1" s="1"/>
  <c r="GG9" i="1"/>
  <c r="GB9" i="1"/>
  <c r="GE9" i="1" s="1"/>
  <c r="FX9" i="1"/>
  <c r="FS9" i="1"/>
  <c r="FV9" i="1" s="1"/>
  <c r="FO9" i="1"/>
  <c r="FJ9" i="1"/>
  <c r="FM9" i="1" s="1"/>
  <c r="JJ8" i="1"/>
  <c r="JE8" i="1"/>
  <c r="JH8" i="1" s="1"/>
  <c r="JA8" i="1"/>
  <c r="IV8" i="1"/>
  <c r="IY8" i="1" s="1"/>
  <c r="IR8" i="1"/>
  <c r="IM8" i="1"/>
  <c r="IP8" i="1" s="1"/>
  <c r="II8" i="1"/>
  <c r="ID8" i="1"/>
  <c r="IG8" i="1" s="1"/>
  <c r="HZ8" i="1"/>
  <c r="HU8" i="1"/>
  <c r="HX8" i="1" s="1"/>
  <c r="HQ8" i="1"/>
  <c r="HL8" i="1"/>
  <c r="HO8" i="1" s="1"/>
  <c r="HH8" i="1"/>
  <c r="HC8" i="1"/>
  <c r="HF8" i="1" s="1"/>
  <c r="GY8" i="1"/>
  <c r="GT8" i="1"/>
  <c r="GW8" i="1" s="1"/>
  <c r="GP8" i="1"/>
  <c r="GK8" i="1"/>
  <c r="GN8" i="1" s="1"/>
  <c r="GG8" i="1"/>
  <c r="GB8" i="1"/>
  <c r="GE8" i="1" s="1"/>
  <c r="FX8" i="1"/>
  <c r="FS8" i="1"/>
  <c r="FV8" i="1" s="1"/>
  <c r="FO8" i="1"/>
  <c r="FJ8" i="1"/>
  <c r="FM8" i="1" s="1"/>
  <c r="JJ7" i="1"/>
  <c r="JE7" i="1"/>
  <c r="JH7" i="1" s="1"/>
  <c r="JA7" i="1"/>
  <c r="IV7" i="1"/>
  <c r="IY7" i="1" s="1"/>
  <c r="IR7" i="1"/>
  <c r="IM7" i="1"/>
  <c r="IP7" i="1" s="1"/>
  <c r="II7" i="1"/>
  <c r="ID7" i="1"/>
  <c r="IG7" i="1" s="1"/>
  <c r="HZ7" i="1"/>
  <c r="HX7" i="1"/>
  <c r="HU7" i="1"/>
  <c r="HQ7" i="1"/>
  <c r="HL7" i="1"/>
  <c r="HO7" i="1" s="1"/>
  <c r="HH7" i="1"/>
  <c r="HC7" i="1"/>
  <c r="HF7" i="1" s="1"/>
  <c r="GY7" i="1"/>
  <c r="GT7" i="1"/>
  <c r="GW7" i="1" s="1"/>
  <c r="GP7" i="1"/>
  <c r="GK7" i="1"/>
  <c r="GN7" i="1" s="1"/>
  <c r="GG7" i="1"/>
  <c r="GB7" i="1"/>
  <c r="GE7" i="1" s="1"/>
  <c r="FX7" i="1"/>
  <c r="FS7" i="1"/>
  <c r="FV7" i="1" s="1"/>
  <c r="FO7" i="1"/>
  <c r="FJ7" i="1"/>
  <c r="FM7" i="1" s="1"/>
  <c r="JJ6" i="1"/>
  <c r="JE6" i="1"/>
  <c r="JH6" i="1" s="1"/>
  <c r="JA6" i="1"/>
  <c r="IV6" i="1"/>
  <c r="IY6" i="1" s="1"/>
  <c r="IR6" i="1"/>
  <c r="IM6" i="1"/>
  <c r="IP6" i="1" s="1"/>
  <c r="II6" i="1"/>
  <c r="ID6" i="1"/>
  <c r="IG6" i="1" s="1"/>
  <c r="HZ6" i="1"/>
  <c r="HU6" i="1"/>
  <c r="HX6" i="1" s="1"/>
  <c r="HQ6" i="1"/>
  <c r="HL6" i="1"/>
  <c r="HO6" i="1" s="1"/>
  <c r="HH6" i="1"/>
  <c r="HC6" i="1"/>
  <c r="HF6" i="1" s="1"/>
  <c r="GY6" i="1"/>
  <c r="GT6" i="1"/>
  <c r="GW6" i="1" s="1"/>
  <c r="GP6" i="1"/>
  <c r="GK6" i="1"/>
  <c r="GN6" i="1" s="1"/>
  <c r="GG6" i="1"/>
  <c r="GB6" i="1"/>
  <c r="GE6" i="1" s="1"/>
  <c r="FX6" i="1"/>
  <c r="FS6" i="1"/>
  <c r="FV6" i="1" s="1"/>
  <c r="FO6" i="1"/>
  <c r="FJ6" i="1"/>
  <c r="FM6" i="1" s="1"/>
  <c r="JJ5" i="1"/>
  <c r="JE5" i="1"/>
  <c r="JH5" i="1" s="1"/>
  <c r="JA5" i="1"/>
  <c r="IV5" i="1"/>
  <c r="IY5" i="1" s="1"/>
  <c r="IR5" i="1"/>
  <c r="IM5" i="1"/>
  <c r="IP5" i="1" s="1"/>
  <c r="II5" i="1"/>
  <c r="ID5" i="1"/>
  <c r="IG5" i="1" s="1"/>
  <c r="HZ5" i="1"/>
  <c r="HX5" i="1"/>
  <c r="HU5" i="1"/>
  <c r="HQ5" i="1"/>
  <c r="HL5" i="1"/>
  <c r="HO5" i="1" s="1"/>
  <c r="HH5" i="1"/>
  <c r="HC5" i="1"/>
  <c r="HF5" i="1" s="1"/>
  <c r="GY5" i="1"/>
  <c r="GT5" i="1"/>
  <c r="GW5" i="1" s="1"/>
  <c r="GP5" i="1"/>
  <c r="GK5" i="1"/>
  <c r="GN5" i="1" s="1"/>
  <c r="GG5" i="1"/>
  <c r="GB5" i="1"/>
  <c r="GE5" i="1" s="1"/>
  <c r="FX5" i="1"/>
  <c r="FS5" i="1"/>
  <c r="FV5" i="1" s="1"/>
  <c r="FO5" i="1"/>
  <c r="FJ5" i="1"/>
  <c r="FM5" i="1" s="1"/>
  <c r="JJ4" i="1"/>
  <c r="JE4" i="1"/>
  <c r="JH4" i="1" s="1"/>
  <c r="JA4" i="1"/>
  <c r="IV4" i="1"/>
  <c r="IY4" i="1" s="1"/>
  <c r="IR4" i="1"/>
  <c r="IM4" i="1"/>
  <c r="IP4" i="1" s="1"/>
  <c r="II4" i="1"/>
  <c r="ID4" i="1"/>
  <c r="IG4" i="1" s="1"/>
  <c r="HZ4" i="1"/>
  <c r="HU4" i="1"/>
  <c r="HX4" i="1" s="1"/>
  <c r="HQ4" i="1"/>
  <c r="HL4" i="1"/>
  <c r="HO4" i="1" s="1"/>
  <c r="HH4" i="1"/>
  <c r="HC4" i="1"/>
  <c r="HF4" i="1" s="1"/>
  <c r="GY4" i="1"/>
  <c r="GT4" i="1"/>
  <c r="GW4" i="1" s="1"/>
  <c r="GP4" i="1"/>
  <c r="GK4" i="1"/>
  <c r="GN4" i="1" s="1"/>
  <c r="GG4" i="1"/>
  <c r="GB4" i="1"/>
  <c r="GE4" i="1" s="1"/>
  <c r="FX4" i="1"/>
  <c r="FS4" i="1"/>
  <c r="FV4" i="1" s="1"/>
  <c r="FO4" i="1"/>
  <c r="FJ4" i="1"/>
  <c r="FM4" i="1" s="1"/>
  <c r="JJ3" i="1"/>
  <c r="JE3" i="1"/>
  <c r="JH3" i="1" s="1"/>
  <c r="JA3" i="1"/>
  <c r="IV3" i="1"/>
  <c r="IY3" i="1" s="1"/>
  <c r="IR3" i="1"/>
  <c r="IM3" i="1"/>
  <c r="IP3" i="1" s="1"/>
  <c r="II3" i="1"/>
  <c r="ID3" i="1"/>
  <c r="IG3" i="1" s="1"/>
  <c r="HZ3" i="1"/>
  <c r="HX3" i="1"/>
  <c r="HU3" i="1"/>
  <c r="HQ3" i="1"/>
  <c r="HL3" i="1"/>
  <c r="HO3" i="1" s="1"/>
  <c r="HH3" i="1"/>
  <c r="HC3" i="1"/>
  <c r="HF3" i="1" s="1"/>
  <c r="GY3" i="1"/>
  <c r="GT3" i="1"/>
  <c r="GW3" i="1" s="1"/>
  <c r="GP3" i="1"/>
  <c r="GK3" i="1"/>
  <c r="GN3" i="1" s="1"/>
  <c r="GG3" i="1"/>
  <c r="GB3" i="1"/>
  <c r="GE3" i="1" s="1"/>
  <c r="FX3" i="1"/>
  <c r="FS3" i="1"/>
  <c r="FV3" i="1" s="1"/>
  <c r="FO3" i="1"/>
  <c r="FJ3" i="1"/>
  <c r="FM3" i="1" s="1"/>
  <c r="JJ2" i="1"/>
  <c r="JE2" i="1"/>
  <c r="JH2" i="1" s="1"/>
  <c r="JA2" i="1"/>
  <c r="IV2" i="1"/>
  <c r="IY2" i="1" s="1"/>
  <c r="IR2" i="1"/>
  <c r="IM2" i="1"/>
  <c r="IP2" i="1" s="1"/>
  <c r="II2" i="1"/>
  <c r="ID2" i="1"/>
  <c r="IG2" i="1" s="1"/>
  <c r="HZ2" i="1"/>
  <c r="HU2" i="1"/>
  <c r="HX2" i="1" s="1"/>
  <c r="HQ2" i="1"/>
  <c r="HL2" i="1"/>
  <c r="HO2" i="1" s="1"/>
  <c r="HH2" i="1"/>
  <c r="HC2" i="1"/>
  <c r="HF2" i="1" s="1"/>
  <c r="GY2" i="1"/>
  <c r="GT2" i="1"/>
  <c r="GW2" i="1" s="1"/>
  <c r="GP2" i="1"/>
  <c r="GK2" i="1"/>
  <c r="GN2" i="1" s="1"/>
  <c r="GG2" i="1"/>
  <c r="GB2" i="1"/>
  <c r="GE2" i="1" s="1"/>
  <c r="FX2" i="1"/>
  <c r="FS2" i="1"/>
  <c r="FV2" i="1" s="1"/>
  <c r="FO2" i="1"/>
  <c r="FJ2" i="1"/>
  <c r="FM2" i="1" s="1"/>
  <c r="EI2" i="1" l="1"/>
  <c r="EL2" i="1" s="1"/>
  <c r="EC2" i="1"/>
  <c r="DZ2" i="1"/>
  <c r="DQ2" i="1"/>
  <c r="DT2" i="1" s="1"/>
  <c r="CY2" i="1"/>
  <c r="DB2" i="1" s="1"/>
  <c r="CJ2" i="1"/>
  <c r="CG2" i="1"/>
  <c r="CA2" i="1"/>
  <c r="BR2" i="1"/>
  <c r="AW2" i="1"/>
  <c r="AZ2" i="1" s="1"/>
  <c r="P2" i="1"/>
  <c r="FA3" i="1"/>
  <c r="FD3" i="1" s="1"/>
  <c r="FA4" i="1"/>
  <c r="FD4" i="1" s="1"/>
  <c r="FA5" i="1"/>
  <c r="FD5" i="1" s="1"/>
  <c r="FA6" i="1"/>
  <c r="FD6" i="1" s="1"/>
  <c r="FA7" i="1"/>
  <c r="FD7" i="1" s="1"/>
  <c r="FA8" i="1"/>
  <c r="FD8" i="1" s="1"/>
  <c r="FA9" i="1"/>
  <c r="FD9" i="1" s="1"/>
  <c r="FA10" i="1"/>
  <c r="FD10" i="1" s="1"/>
  <c r="FA11" i="1"/>
  <c r="FD11" i="1" s="1"/>
  <c r="FA12" i="1"/>
  <c r="FD12" i="1" s="1"/>
  <c r="FA13" i="1"/>
  <c r="FD13" i="1" s="1"/>
  <c r="FA14" i="1"/>
  <c r="FD14" i="1" s="1"/>
  <c r="FA15" i="1"/>
  <c r="FD15" i="1" s="1"/>
  <c r="FA16" i="1"/>
  <c r="FD16" i="1" s="1"/>
  <c r="FA17" i="1"/>
  <c r="FD17" i="1" s="1"/>
  <c r="FA18" i="1"/>
  <c r="FD18" i="1" s="1"/>
  <c r="FA19" i="1"/>
  <c r="FD19" i="1" s="1"/>
  <c r="FA20" i="1"/>
  <c r="FD20" i="1" s="1"/>
  <c r="FA21" i="1"/>
  <c r="FD21" i="1" s="1"/>
  <c r="FA22" i="1"/>
  <c r="FD22" i="1" s="1"/>
  <c r="FA23" i="1"/>
  <c r="FD23" i="1" s="1"/>
  <c r="FA24" i="1"/>
  <c r="FD24" i="1" s="1"/>
  <c r="FA25" i="1"/>
  <c r="FD25" i="1" s="1"/>
  <c r="FA26" i="1"/>
  <c r="FD26" i="1" s="1"/>
  <c r="FA27" i="1"/>
  <c r="FD27" i="1" s="1"/>
  <c r="FA28" i="1"/>
  <c r="FD28" i="1" s="1"/>
  <c r="FA29" i="1"/>
  <c r="FD29" i="1" s="1"/>
  <c r="FA30" i="1"/>
  <c r="FD30" i="1" s="1"/>
  <c r="FA31" i="1"/>
  <c r="FD31" i="1" s="1"/>
  <c r="FA32" i="1"/>
  <c r="FD32" i="1" s="1"/>
  <c r="FA33" i="1"/>
  <c r="FD33" i="1" s="1"/>
  <c r="FA34" i="1"/>
  <c r="FD34" i="1" s="1"/>
  <c r="FA35" i="1"/>
  <c r="FD35" i="1" s="1"/>
  <c r="FA36" i="1"/>
  <c r="FD36" i="1" s="1"/>
  <c r="FA37" i="1"/>
  <c r="FD37" i="1" s="1"/>
  <c r="FA2" i="1"/>
  <c r="FD2" i="1" s="1"/>
  <c r="ER3" i="1"/>
  <c r="EU3" i="1" s="1"/>
  <c r="ER4" i="1"/>
  <c r="EU4" i="1" s="1"/>
  <c r="ER5" i="1"/>
  <c r="EU5" i="1" s="1"/>
  <c r="ER6" i="1"/>
  <c r="EU6" i="1" s="1"/>
  <c r="ER7" i="1"/>
  <c r="EU7" i="1" s="1"/>
  <c r="ER8" i="1"/>
  <c r="EU8" i="1" s="1"/>
  <c r="ER9" i="1"/>
  <c r="EU9" i="1" s="1"/>
  <c r="ER10" i="1"/>
  <c r="EU10" i="1" s="1"/>
  <c r="ER11" i="1"/>
  <c r="EU11" i="1" s="1"/>
  <c r="ER12" i="1"/>
  <c r="EU12" i="1" s="1"/>
  <c r="ER13" i="1"/>
  <c r="EU13" i="1" s="1"/>
  <c r="ER14" i="1"/>
  <c r="EU14" i="1" s="1"/>
  <c r="ER15" i="1"/>
  <c r="EU15" i="1" s="1"/>
  <c r="ER16" i="1"/>
  <c r="EU16" i="1" s="1"/>
  <c r="ER17" i="1"/>
  <c r="EU17" i="1" s="1"/>
  <c r="ER18" i="1"/>
  <c r="EU18" i="1" s="1"/>
  <c r="ER19" i="1"/>
  <c r="EU19" i="1" s="1"/>
  <c r="ER20" i="1"/>
  <c r="EU20" i="1" s="1"/>
  <c r="ER21" i="1"/>
  <c r="EU21" i="1" s="1"/>
  <c r="ER22" i="1"/>
  <c r="EU22" i="1" s="1"/>
  <c r="ER23" i="1"/>
  <c r="EU23" i="1" s="1"/>
  <c r="ER24" i="1"/>
  <c r="EU24" i="1" s="1"/>
  <c r="ER25" i="1"/>
  <c r="EU25" i="1" s="1"/>
  <c r="ER26" i="1"/>
  <c r="EU26" i="1" s="1"/>
  <c r="ER27" i="1"/>
  <c r="EU27" i="1" s="1"/>
  <c r="ER28" i="1"/>
  <c r="EU28" i="1" s="1"/>
  <c r="ER29" i="1"/>
  <c r="EU29" i="1" s="1"/>
  <c r="ER30" i="1"/>
  <c r="EU30" i="1" s="1"/>
  <c r="ER31" i="1"/>
  <c r="EU31" i="1" s="1"/>
  <c r="ER32" i="1"/>
  <c r="EU32" i="1" s="1"/>
  <c r="ER33" i="1"/>
  <c r="EU33" i="1" s="1"/>
  <c r="ER34" i="1"/>
  <c r="EU34" i="1" s="1"/>
  <c r="ER35" i="1"/>
  <c r="EU35" i="1" s="1"/>
  <c r="ER36" i="1"/>
  <c r="EU36" i="1" s="1"/>
  <c r="ER37" i="1"/>
  <c r="EU37" i="1" s="1"/>
  <c r="ER2" i="1"/>
  <c r="EU2" i="1" s="1"/>
  <c r="EI3" i="1"/>
  <c r="EL3" i="1" s="1"/>
  <c r="EI4" i="1"/>
  <c r="EL4" i="1" s="1"/>
  <c r="EI5" i="1"/>
  <c r="EL5" i="1" s="1"/>
  <c r="EI6" i="1"/>
  <c r="EL6" i="1" s="1"/>
  <c r="EI7" i="1"/>
  <c r="EL7" i="1" s="1"/>
  <c r="EI8" i="1"/>
  <c r="EL8" i="1" s="1"/>
  <c r="EI9" i="1"/>
  <c r="EL9" i="1" s="1"/>
  <c r="EI10" i="1"/>
  <c r="EL10" i="1" s="1"/>
  <c r="EI11" i="1"/>
  <c r="EL11" i="1" s="1"/>
  <c r="EI12" i="1"/>
  <c r="EL12" i="1" s="1"/>
  <c r="EI13" i="1"/>
  <c r="EL13" i="1" s="1"/>
  <c r="EI14" i="1"/>
  <c r="EL14" i="1" s="1"/>
  <c r="EI15" i="1"/>
  <c r="EL15" i="1" s="1"/>
  <c r="EI16" i="1"/>
  <c r="EL16" i="1" s="1"/>
  <c r="EI17" i="1"/>
  <c r="EL17" i="1" s="1"/>
  <c r="EI18" i="1"/>
  <c r="EL18" i="1" s="1"/>
  <c r="EI19" i="1"/>
  <c r="EL19" i="1" s="1"/>
  <c r="EI20" i="1"/>
  <c r="EL20" i="1" s="1"/>
  <c r="EI21" i="1"/>
  <c r="EL21" i="1" s="1"/>
  <c r="EI22" i="1"/>
  <c r="EL22" i="1" s="1"/>
  <c r="EI23" i="1"/>
  <c r="EL23" i="1" s="1"/>
  <c r="EI24" i="1"/>
  <c r="EL24" i="1" s="1"/>
  <c r="EI25" i="1"/>
  <c r="EL25" i="1" s="1"/>
  <c r="EI26" i="1"/>
  <c r="EL26" i="1" s="1"/>
  <c r="EI27" i="1"/>
  <c r="EL27" i="1" s="1"/>
  <c r="EI28" i="1"/>
  <c r="EL28" i="1" s="1"/>
  <c r="EI29" i="1"/>
  <c r="EL29" i="1" s="1"/>
  <c r="EI30" i="1"/>
  <c r="EL30" i="1" s="1"/>
  <c r="EI31" i="1"/>
  <c r="EL31" i="1" s="1"/>
  <c r="EI32" i="1"/>
  <c r="EL32" i="1" s="1"/>
  <c r="EI33" i="1"/>
  <c r="EL33" i="1" s="1"/>
  <c r="EI34" i="1"/>
  <c r="EL34" i="1" s="1"/>
  <c r="EI35" i="1"/>
  <c r="EL35" i="1" s="1"/>
  <c r="EI36" i="1"/>
  <c r="EL36" i="1" s="1"/>
  <c r="EI37" i="1"/>
  <c r="EL37" i="1" s="1"/>
  <c r="EI38" i="1"/>
  <c r="EL38" i="1" s="1"/>
  <c r="EI39" i="1"/>
  <c r="EL39" i="1" s="1"/>
  <c r="EI40" i="1"/>
  <c r="EL40" i="1" s="1"/>
  <c r="EI41" i="1"/>
  <c r="EL41" i="1" s="1"/>
  <c r="EI42" i="1"/>
  <c r="EL42" i="1" s="1"/>
  <c r="EI43" i="1"/>
  <c r="EL43" i="1" s="1"/>
  <c r="DG36" i="1"/>
  <c r="DI36" i="1"/>
  <c r="DJ36" i="1"/>
  <c r="DL36" i="1"/>
  <c r="DN36" i="1"/>
  <c r="DO36" i="1"/>
  <c r="DP36" i="1"/>
  <c r="DR36" i="1"/>
  <c r="DS36" i="1"/>
  <c r="DU36" i="1"/>
  <c r="DW36" i="1"/>
  <c r="DX36" i="1"/>
  <c r="DY36" i="1"/>
  <c r="EA36" i="1"/>
  <c r="EB36" i="1"/>
  <c r="ED36" i="1"/>
  <c r="DF36" i="1"/>
  <c r="DZ3" i="1"/>
  <c r="EC3" i="1" s="1"/>
  <c r="DZ4" i="1"/>
  <c r="EC4" i="1" s="1"/>
  <c r="DZ5" i="1"/>
  <c r="EC5" i="1" s="1"/>
  <c r="DZ6" i="1"/>
  <c r="EC6" i="1" s="1"/>
  <c r="DZ7" i="1"/>
  <c r="EC7" i="1" s="1"/>
  <c r="DZ8" i="1"/>
  <c r="EC8" i="1" s="1"/>
  <c r="DZ9" i="1"/>
  <c r="EC9" i="1" s="1"/>
  <c r="DZ10" i="1"/>
  <c r="EC10" i="1" s="1"/>
  <c r="DZ11" i="1"/>
  <c r="EC11" i="1" s="1"/>
  <c r="DZ12" i="1"/>
  <c r="EC12" i="1" s="1"/>
  <c r="DZ13" i="1"/>
  <c r="EC13" i="1" s="1"/>
  <c r="DZ14" i="1"/>
  <c r="EC14" i="1" s="1"/>
  <c r="DZ15" i="1"/>
  <c r="EC15" i="1" s="1"/>
  <c r="DZ16" i="1"/>
  <c r="EC16" i="1" s="1"/>
  <c r="DZ17" i="1"/>
  <c r="EC17" i="1" s="1"/>
  <c r="DZ18" i="1"/>
  <c r="EC18" i="1" s="1"/>
  <c r="DZ19" i="1"/>
  <c r="EC19" i="1" s="1"/>
  <c r="DZ20" i="1"/>
  <c r="EC20" i="1" s="1"/>
  <c r="DZ21" i="1"/>
  <c r="EC21" i="1" s="1"/>
  <c r="DZ22" i="1"/>
  <c r="EC22" i="1" s="1"/>
  <c r="DZ23" i="1"/>
  <c r="EC23" i="1" s="1"/>
  <c r="DZ24" i="1"/>
  <c r="EC24" i="1" s="1"/>
  <c r="DZ25" i="1"/>
  <c r="EC25" i="1" s="1"/>
  <c r="DZ26" i="1"/>
  <c r="EC26" i="1" s="1"/>
  <c r="DZ27" i="1"/>
  <c r="EC27" i="1" s="1"/>
  <c r="DZ28" i="1"/>
  <c r="EC28" i="1" s="1"/>
  <c r="DQ3" i="1"/>
  <c r="DT3" i="1" s="1"/>
  <c r="DQ4" i="1"/>
  <c r="DT4" i="1" s="1"/>
  <c r="DQ5" i="1"/>
  <c r="DT5" i="1" s="1"/>
  <c r="DQ6" i="1"/>
  <c r="DT6" i="1" s="1"/>
  <c r="DQ7" i="1"/>
  <c r="DT7" i="1" s="1"/>
  <c r="DQ8" i="1"/>
  <c r="DT8" i="1" s="1"/>
  <c r="DQ9" i="1"/>
  <c r="DT9" i="1" s="1"/>
  <c r="DQ10" i="1"/>
  <c r="DT10" i="1" s="1"/>
  <c r="DQ11" i="1"/>
  <c r="DT11" i="1" s="1"/>
  <c r="DQ12" i="1"/>
  <c r="DT12" i="1" s="1"/>
  <c r="DQ13" i="1"/>
  <c r="DT13" i="1" s="1"/>
  <c r="DQ14" i="1"/>
  <c r="DT14" i="1" s="1"/>
  <c r="DQ15" i="1"/>
  <c r="DT15" i="1" s="1"/>
  <c r="DQ16" i="1"/>
  <c r="DT16" i="1" s="1"/>
  <c r="DQ17" i="1"/>
  <c r="DT17" i="1" s="1"/>
  <c r="DQ18" i="1"/>
  <c r="DT18" i="1" s="1"/>
  <c r="DQ19" i="1"/>
  <c r="DT19" i="1" s="1"/>
  <c r="DQ20" i="1"/>
  <c r="DT20" i="1" s="1"/>
  <c r="DQ21" i="1"/>
  <c r="DT21" i="1" s="1"/>
  <c r="DQ22" i="1"/>
  <c r="DT22" i="1" s="1"/>
  <c r="DQ23" i="1"/>
  <c r="DT23" i="1" s="1"/>
  <c r="DQ24" i="1"/>
  <c r="DT24" i="1" s="1"/>
  <c r="DQ25" i="1"/>
  <c r="DT25" i="1" s="1"/>
  <c r="DQ26" i="1"/>
  <c r="DT26" i="1" s="1"/>
  <c r="DH3" i="1"/>
  <c r="DK3" i="1" s="1"/>
  <c r="DH4" i="1"/>
  <c r="DK4" i="1" s="1"/>
  <c r="DH5" i="1"/>
  <c r="DK5" i="1" s="1"/>
  <c r="DH6" i="1"/>
  <c r="DK6" i="1" s="1"/>
  <c r="DH7" i="1"/>
  <c r="DK7" i="1" s="1"/>
  <c r="DH8" i="1"/>
  <c r="DK8" i="1" s="1"/>
  <c r="DH9" i="1"/>
  <c r="DK9" i="1" s="1"/>
  <c r="DH10" i="1"/>
  <c r="DK10" i="1" s="1"/>
  <c r="DH11" i="1"/>
  <c r="DK11" i="1" s="1"/>
  <c r="DH12" i="1"/>
  <c r="DK12" i="1" s="1"/>
  <c r="DH13" i="1"/>
  <c r="DK13" i="1" s="1"/>
  <c r="DH14" i="1"/>
  <c r="DK14" i="1" s="1"/>
  <c r="DH15" i="1"/>
  <c r="DK15" i="1" s="1"/>
  <c r="DH16" i="1"/>
  <c r="DK16" i="1" s="1"/>
  <c r="DH17" i="1"/>
  <c r="DK17" i="1" s="1"/>
  <c r="DH18" i="1"/>
  <c r="DK18" i="1" s="1"/>
  <c r="DH19" i="1"/>
  <c r="DK19" i="1" s="1"/>
  <c r="DH20" i="1"/>
  <c r="DK20" i="1" s="1"/>
  <c r="DH21" i="1"/>
  <c r="DK21" i="1" s="1"/>
  <c r="DH22" i="1"/>
  <c r="DK22" i="1" s="1"/>
  <c r="DH23" i="1"/>
  <c r="DK23" i="1" s="1"/>
  <c r="DH24" i="1"/>
  <c r="DK24" i="1" s="1"/>
  <c r="DH25" i="1"/>
  <c r="DK25" i="1" s="1"/>
  <c r="DH26" i="1"/>
  <c r="DK26" i="1" s="1"/>
  <c r="DH27" i="1"/>
  <c r="DK27" i="1" s="1"/>
  <c r="DH28" i="1"/>
  <c r="DK28" i="1" s="1"/>
  <c r="DH29" i="1"/>
  <c r="DK29" i="1" s="1"/>
  <c r="DH30" i="1"/>
  <c r="DK30" i="1" s="1"/>
  <c r="DH31" i="1"/>
  <c r="DK31" i="1" s="1"/>
  <c r="DH32" i="1"/>
  <c r="DK32" i="1" s="1"/>
  <c r="DH33" i="1"/>
  <c r="DK33" i="1" s="1"/>
  <c r="DH2" i="1"/>
  <c r="DK2" i="1" s="1"/>
  <c r="DB30" i="1"/>
  <c r="CY3" i="1"/>
  <c r="DB3" i="1" s="1"/>
  <c r="CY4" i="1"/>
  <c r="DB4" i="1" s="1"/>
  <c r="CY5" i="1"/>
  <c r="DB5" i="1" s="1"/>
  <c r="CY6" i="1"/>
  <c r="DB6" i="1" s="1"/>
  <c r="CY7" i="1"/>
  <c r="DB7" i="1" s="1"/>
  <c r="CY8" i="1"/>
  <c r="DB8" i="1" s="1"/>
  <c r="CY9" i="1"/>
  <c r="DB9" i="1" s="1"/>
  <c r="CY10" i="1"/>
  <c r="DB10" i="1" s="1"/>
  <c r="CY11" i="1"/>
  <c r="DB11" i="1" s="1"/>
  <c r="CY12" i="1"/>
  <c r="DB12" i="1" s="1"/>
  <c r="CY13" i="1"/>
  <c r="DB13" i="1" s="1"/>
  <c r="CY14" i="1"/>
  <c r="DB14" i="1" s="1"/>
  <c r="CY15" i="1"/>
  <c r="DB15" i="1" s="1"/>
  <c r="CY16" i="1"/>
  <c r="DB16" i="1" s="1"/>
  <c r="CY17" i="1"/>
  <c r="DB17" i="1" s="1"/>
  <c r="CY18" i="1"/>
  <c r="DB18" i="1" s="1"/>
  <c r="CY19" i="1"/>
  <c r="DB19" i="1" s="1"/>
  <c r="CY20" i="1"/>
  <c r="DB20" i="1" s="1"/>
  <c r="CY21" i="1"/>
  <c r="DB21" i="1" s="1"/>
  <c r="CY22" i="1"/>
  <c r="DB22" i="1" s="1"/>
  <c r="CY23" i="1"/>
  <c r="DB23" i="1" s="1"/>
  <c r="CY24" i="1"/>
  <c r="DB24" i="1" s="1"/>
  <c r="CY25" i="1"/>
  <c r="DB25" i="1" s="1"/>
  <c r="CY26" i="1"/>
  <c r="DB26" i="1" s="1"/>
  <c r="CY27" i="1"/>
  <c r="DB27" i="1" s="1"/>
  <c r="CY28" i="1"/>
  <c r="DB28" i="1" s="1"/>
  <c r="CY29" i="1"/>
  <c r="DB29" i="1" s="1"/>
  <c r="CP3" i="1"/>
  <c r="CS3" i="1" s="1"/>
  <c r="CP4" i="1"/>
  <c r="CS4" i="1" s="1"/>
  <c r="CP5" i="1"/>
  <c r="CS5" i="1" s="1"/>
  <c r="CP6" i="1"/>
  <c r="CS6" i="1" s="1"/>
  <c r="CP7" i="1"/>
  <c r="CS7" i="1" s="1"/>
  <c r="CP8" i="1"/>
  <c r="CS8" i="1" s="1"/>
  <c r="CP9" i="1"/>
  <c r="CS9" i="1" s="1"/>
  <c r="CP10" i="1"/>
  <c r="CS10" i="1" s="1"/>
  <c r="CP11" i="1"/>
  <c r="CS11" i="1" s="1"/>
  <c r="CP12" i="1"/>
  <c r="CS12" i="1" s="1"/>
  <c r="CP13" i="1"/>
  <c r="CS13" i="1" s="1"/>
  <c r="CP14" i="1"/>
  <c r="CS14" i="1" s="1"/>
  <c r="CP15" i="1"/>
  <c r="CS15" i="1" s="1"/>
  <c r="CP16" i="1"/>
  <c r="CS16" i="1" s="1"/>
  <c r="CP17" i="1"/>
  <c r="CS17" i="1" s="1"/>
  <c r="CP18" i="1"/>
  <c r="CS18" i="1" s="1"/>
  <c r="CP19" i="1"/>
  <c r="CS19" i="1" s="1"/>
  <c r="CP20" i="1"/>
  <c r="CS20" i="1" s="1"/>
  <c r="CP21" i="1"/>
  <c r="CS21" i="1" s="1"/>
  <c r="CP22" i="1"/>
  <c r="CS22" i="1" s="1"/>
  <c r="CP23" i="1"/>
  <c r="CS23" i="1" s="1"/>
  <c r="CP24" i="1"/>
  <c r="CS24" i="1" s="1"/>
  <c r="CP25" i="1"/>
  <c r="CS25" i="1" s="1"/>
  <c r="CP26" i="1"/>
  <c r="CS26" i="1" s="1"/>
  <c r="CP27" i="1"/>
  <c r="CS27" i="1" s="1"/>
  <c r="CP28" i="1"/>
  <c r="CS28" i="1" s="1"/>
  <c r="CP29" i="1"/>
  <c r="CS29" i="1" s="1"/>
  <c r="CP30" i="1"/>
  <c r="CS30" i="1" s="1"/>
  <c r="CP31" i="1"/>
  <c r="CS31" i="1" s="1"/>
  <c r="CP32" i="1"/>
  <c r="CS32" i="1" s="1"/>
  <c r="CP33" i="1"/>
  <c r="CS33" i="1" s="1"/>
  <c r="CP34" i="1"/>
  <c r="CS34" i="1" s="1"/>
  <c r="CP2" i="1"/>
  <c r="CS2" i="1" s="1"/>
  <c r="CG3" i="1"/>
  <c r="CJ3" i="1" s="1"/>
  <c r="CG4" i="1"/>
  <c r="CJ4" i="1" s="1"/>
  <c r="CG5" i="1"/>
  <c r="CJ5" i="1" s="1"/>
  <c r="CG6" i="1"/>
  <c r="CJ6" i="1" s="1"/>
  <c r="CG7" i="1"/>
  <c r="CJ7" i="1" s="1"/>
  <c r="CG8" i="1"/>
  <c r="CJ8" i="1" s="1"/>
  <c r="CG9" i="1"/>
  <c r="CJ9" i="1" s="1"/>
  <c r="CG10" i="1"/>
  <c r="CJ10" i="1" s="1"/>
  <c r="CG11" i="1"/>
  <c r="CJ11" i="1" s="1"/>
  <c r="CG12" i="1"/>
  <c r="CJ12" i="1" s="1"/>
  <c r="CG13" i="1"/>
  <c r="CJ13" i="1" s="1"/>
  <c r="CG14" i="1"/>
  <c r="CJ14" i="1" s="1"/>
  <c r="CG15" i="1"/>
  <c r="CJ15" i="1" s="1"/>
  <c r="CG16" i="1"/>
  <c r="CJ16" i="1" s="1"/>
  <c r="CG17" i="1"/>
  <c r="CJ17" i="1" s="1"/>
  <c r="CG18" i="1"/>
  <c r="CJ18" i="1" s="1"/>
  <c r="CG19" i="1"/>
  <c r="CJ19" i="1" s="1"/>
  <c r="CG20" i="1"/>
  <c r="CJ20" i="1" s="1"/>
  <c r="CG21" i="1"/>
  <c r="CJ21" i="1" s="1"/>
  <c r="CG22" i="1"/>
  <c r="CJ22" i="1" s="1"/>
  <c r="CG23" i="1"/>
  <c r="CJ23" i="1" s="1"/>
  <c r="CG24" i="1"/>
  <c r="CJ24" i="1" s="1"/>
  <c r="CG25" i="1"/>
  <c r="CJ25" i="1" s="1"/>
  <c r="CG26" i="1"/>
  <c r="CJ26" i="1" s="1"/>
  <c r="CG27" i="1"/>
  <c r="CJ27" i="1" s="1"/>
  <c r="CG28" i="1"/>
  <c r="CJ28" i="1" s="1"/>
  <c r="CG29" i="1"/>
  <c r="CJ29" i="1" s="1"/>
  <c r="CG30" i="1"/>
  <c r="CJ30" i="1" s="1"/>
  <c r="CG31" i="1"/>
  <c r="CJ31" i="1" s="1"/>
  <c r="CG32" i="1"/>
  <c r="CJ32" i="1" s="1"/>
  <c r="CG33" i="1"/>
  <c r="CJ33" i="1" s="1"/>
  <c r="CG34" i="1"/>
  <c r="CJ34" i="1" s="1"/>
  <c r="CG35" i="1"/>
  <c r="CJ35" i="1" s="1"/>
  <c r="CG36" i="1"/>
  <c r="CJ36" i="1" s="1"/>
  <c r="CG37" i="1"/>
  <c r="CJ37" i="1" s="1"/>
  <c r="CG38" i="1"/>
  <c r="CJ38" i="1" s="1"/>
  <c r="CG39" i="1"/>
  <c r="CJ39" i="1" s="1"/>
  <c r="CG40" i="1"/>
  <c r="CJ40" i="1" s="1"/>
  <c r="CG41" i="1"/>
  <c r="CJ41" i="1" s="1"/>
  <c r="CG42" i="1"/>
  <c r="CJ42" i="1" s="1"/>
  <c r="CG43" i="1"/>
  <c r="CJ43" i="1" s="1"/>
  <c r="CG44" i="1"/>
  <c r="CJ44" i="1" s="1"/>
  <c r="CG45" i="1"/>
  <c r="CJ45" i="1" s="1"/>
  <c r="CG46" i="1"/>
  <c r="CJ46" i="1" s="1"/>
  <c r="CG47" i="1"/>
  <c r="CJ47" i="1" s="1"/>
  <c r="CG48" i="1"/>
  <c r="CJ48" i="1" s="1"/>
  <c r="BX3" i="1"/>
  <c r="CA3" i="1" s="1"/>
  <c r="BX4" i="1"/>
  <c r="CA4" i="1" s="1"/>
  <c r="BX5" i="1"/>
  <c r="CA5" i="1" s="1"/>
  <c r="BX6" i="1"/>
  <c r="CA6" i="1" s="1"/>
  <c r="BX7" i="1"/>
  <c r="CA7" i="1" s="1"/>
  <c r="BX8" i="1"/>
  <c r="CA8" i="1" s="1"/>
  <c r="BX9" i="1"/>
  <c r="CA9" i="1" s="1"/>
  <c r="BX10" i="1"/>
  <c r="CA10" i="1" s="1"/>
  <c r="BX11" i="1"/>
  <c r="CA11" i="1" s="1"/>
  <c r="BX12" i="1"/>
  <c r="CA12" i="1" s="1"/>
  <c r="BX13" i="1"/>
  <c r="CA13" i="1" s="1"/>
  <c r="BX14" i="1"/>
  <c r="CA14" i="1" s="1"/>
  <c r="BX15" i="1"/>
  <c r="CA15" i="1" s="1"/>
  <c r="BX16" i="1"/>
  <c r="CA16" i="1" s="1"/>
  <c r="BX17" i="1"/>
  <c r="CA17" i="1" s="1"/>
  <c r="BX18" i="1"/>
  <c r="CA18" i="1" s="1"/>
  <c r="BX19" i="1"/>
  <c r="CA19" i="1" s="1"/>
  <c r="BX20" i="1"/>
  <c r="CA20" i="1" s="1"/>
  <c r="BX21" i="1"/>
  <c r="CA21" i="1" s="1"/>
  <c r="BX22" i="1"/>
  <c r="CA22" i="1" s="1"/>
  <c r="BX23" i="1"/>
  <c r="CA23" i="1" s="1"/>
  <c r="BX24" i="1"/>
  <c r="CA24" i="1" s="1"/>
  <c r="BX25" i="1"/>
  <c r="CA25" i="1" s="1"/>
  <c r="BX26" i="1"/>
  <c r="CA26" i="1" s="1"/>
  <c r="BX27" i="1"/>
  <c r="CA27" i="1" s="1"/>
  <c r="BX28" i="1"/>
  <c r="CA28" i="1" s="1"/>
  <c r="BX29" i="1"/>
  <c r="CA29" i="1" s="1"/>
  <c r="BX30" i="1"/>
  <c r="CA30" i="1" s="1"/>
  <c r="BX31" i="1"/>
  <c r="CA31" i="1" s="1"/>
  <c r="BX2" i="1"/>
  <c r="BO3" i="1"/>
  <c r="BR3" i="1" s="1"/>
  <c r="BO4" i="1"/>
  <c r="BR4" i="1" s="1"/>
  <c r="BO5" i="1"/>
  <c r="BR5" i="1" s="1"/>
  <c r="BO6" i="1"/>
  <c r="BR6" i="1" s="1"/>
  <c r="BO7" i="1"/>
  <c r="BR7" i="1" s="1"/>
  <c r="BO8" i="1"/>
  <c r="BR8" i="1" s="1"/>
  <c r="BO9" i="1"/>
  <c r="BR9" i="1" s="1"/>
  <c r="BO10" i="1"/>
  <c r="BR10" i="1" s="1"/>
  <c r="BO11" i="1"/>
  <c r="BR11" i="1" s="1"/>
  <c r="BO12" i="1"/>
  <c r="BR12" i="1" s="1"/>
  <c r="BO13" i="1"/>
  <c r="BR13" i="1" s="1"/>
  <c r="BO14" i="1"/>
  <c r="BR14" i="1" s="1"/>
  <c r="BO15" i="1"/>
  <c r="BR15" i="1" s="1"/>
  <c r="BO16" i="1"/>
  <c r="BR16" i="1" s="1"/>
  <c r="BO17" i="1"/>
  <c r="BR17" i="1" s="1"/>
  <c r="BO18" i="1"/>
  <c r="BR18" i="1" s="1"/>
  <c r="BO19" i="1"/>
  <c r="BR19" i="1" s="1"/>
  <c r="BO20" i="1"/>
  <c r="BR20" i="1" s="1"/>
  <c r="BO21" i="1"/>
  <c r="BR21" i="1" s="1"/>
  <c r="BO22" i="1"/>
  <c r="BR22" i="1" s="1"/>
  <c r="BO23" i="1"/>
  <c r="BR23" i="1" s="1"/>
  <c r="BO24" i="1"/>
  <c r="BR24" i="1" s="1"/>
  <c r="BO25" i="1"/>
  <c r="BR25" i="1" s="1"/>
  <c r="BO26" i="1"/>
  <c r="BR26" i="1" s="1"/>
  <c r="BO27" i="1"/>
  <c r="BR27" i="1" s="1"/>
  <c r="BO2" i="1"/>
  <c r="BF3" i="1"/>
  <c r="BI3" i="1" s="1"/>
  <c r="BF4" i="1"/>
  <c r="BI4" i="1" s="1"/>
  <c r="BF5" i="1"/>
  <c r="BI5" i="1" s="1"/>
  <c r="BF6" i="1"/>
  <c r="BI6" i="1" s="1"/>
  <c r="BF7" i="1"/>
  <c r="BI7" i="1" s="1"/>
  <c r="BF8" i="1"/>
  <c r="BI8" i="1" s="1"/>
  <c r="BF9" i="1"/>
  <c r="BI9" i="1" s="1"/>
  <c r="BF10" i="1"/>
  <c r="BI10" i="1" s="1"/>
  <c r="BF11" i="1"/>
  <c r="BI11" i="1" s="1"/>
  <c r="BF12" i="1"/>
  <c r="BI12" i="1" s="1"/>
  <c r="BF13" i="1"/>
  <c r="BI13" i="1" s="1"/>
  <c r="BF14" i="1"/>
  <c r="BI14" i="1" s="1"/>
  <c r="BF15" i="1"/>
  <c r="BI15" i="1" s="1"/>
  <c r="BF16" i="1"/>
  <c r="BI16" i="1" s="1"/>
  <c r="BF17" i="1"/>
  <c r="BI17" i="1" s="1"/>
  <c r="BF18" i="1"/>
  <c r="BI18" i="1" s="1"/>
  <c r="BF19" i="1"/>
  <c r="BI19" i="1" s="1"/>
  <c r="BF20" i="1"/>
  <c r="BI20" i="1" s="1"/>
  <c r="BF21" i="1"/>
  <c r="BI21" i="1" s="1"/>
  <c r="BF22" i="1"/>
  <c r="BI22" i="1" s="1"/>
  <c r="BF23" i="1"/>
  <c r="BI23" i="1" s="1"/>
  <c r="BF24" i="1"/>
  <c r="BI24" i="1" s="1"/>
  <c r="BF25" i="1"/>
  <c r="BI25" i="1" s="1"/>
  <c r="BF26" i="1"/>
  <c r="BI26" i="1" s="1"/>
  <c r="BF2" i="1"/>
  <c r="BI2" i="1" s="1"/>
  <c r="AT38" i="1"/>
  <c r="AU38" i="1"/>
  <c r="AV38" i="1"/>
  <c r="AX38" i="1"/>
  <c r="AY38" i="1"/>
  <c r="BA38" i="1"/>
  <c r="AM38" i="1"/>
  <c r="AO38" i="1"/>
  <c r="AP38" i="1"/>
  <c r="AR38" i="1"/>
  <c r="AL38" i="1"/>
  <c r="AW3" i="1"/>
  <c r="AZ3" i="1" s="1"/>
  <c r="AW4" i="1"/>
  <c r="AZ4" i="1" s="1"/>
  <c r="AW5" i="1"/>
  <c r="AZ5" i="1" s="1"/>
  <c r="AW6" i="1"/>
  <c r="AZ6" i="1" s="1"/>
  <c r="AW7" i="1"/>
  <c r="AZ7" i="1" s="1"/>
  <c r="AW8" i="1"/>
  <c r="AZ8" i="1" s="1"/>
  <c r="AW9" i="1"/>
  <c r="AZ9" i="1" s="1"/>
  <c r="AW10" i="1"/>
  <c r="AZ10" i="1" s="1"/>
  <c r="AW11" i="1"/>
  <c r="AZ11" i="1" s="1"/>
  <c r="AW12" i="1"/>
  <c r="AZ12" i="1" s="1"/>
  <c r="AW13" i="1"/>
  <c r="AZ13" i="1" s="1"/>
  <c r="AW14" i="1"/>
  <c r="AZ14" i="1" s="1"/>
  <c r="AW15" i="1"/>
  <c r="AZ15" i="1" s="1"/>
  <c r="AW16" i="1"/>
  <c r="AZ16" i="1" s="1"/>
  <c r="AW17" i="1"/>
  <c r="AZ17" i="1" s="1"/>
  <c r="AW18" i="1"/>
  <c r="AZ18" i="1" s="1"/>
  <c r="AW19" i="1"/>
  <c r="AZ19" i="1" s="1"/>
  <c r="AW20" i="1"/>
  <c r="AZ20" i="1" s="1"/>
  <c r="AW21" i="1"/>
  <c r="AZ21" i="1" s="1"/>
  <c r="AW22" i="1"/>
  <c r="AZ22" i="1" s="1"/>
  <c r="AW23" i="1"/>
  <c r="AZ23" i="1" s="1"/>
  <c r="AW24" i="1"/>
  <c r="AZ24" i="1" s="1"/>
  <c r="AW25" i="1"/>
  <c r="AZ25" i="1" s="1"/>
  <c r="AW26" i="1"/>
  <c r="AZ26" i="1" s="1"/>
  <c r="AW27" i="1"/>
  <c r="AZ27" i="1" s="1"/>
  <c r="AW28" i="1"/>
  <c r="AZ28" i="1" s="1"/>
  <c r="AW29" i="1"/>
  <c r="AZ29" i="1" s="1"/>
  <c r="AW30" i="1"/>
  <c r="AZ30" i="1" s="1"/>
  <c r="AW31" i="1"/>
  <c r="AZ31" i="1" s="1"/>
  <c r="AW32" i="1"/>
  <c r="AZ32" i="1" s="1"/>
  <c r="AW33" i="1"/>
  <c r="AZ33" i="1" s="1"/>
  <c r="AW34" i="1"/>
  <c r="AZ34" i="1" s="1"/>
  <c r="AW35" i="1"/>
  <c r="AZ35" i="1" s="1"/>
  <c r="AN3" i="1"/>
  <c r="AQ3" i="1" s="1"/>
  <c r="AN4" i="1"/>
  <c r="AQ4" i="1" s="1"/>
  <c r="AN5" i="1"/>
  <c r="AQ5" i="1" s="1"/>
  <c r="AN6" i="1"/>
  <c r="AQ6" i="1" s="1"/>
  <c r="AN7" i="1"/>
  <c r="AQ7" i="1" s="1"/>
  <c r="AN8" i="1"/>
  <c r="AQ8" i="1" s="1"/>
  <c r="AN9" i="1"/>
  <c r="AQ9" i="1" s="1"/>
  <c r="AN10" i="1"/>
  <c r="AQ10" i="1" s="1"/>
  <c r="AN11" i="1"/>
  <c r="AQ11" i="1" s="1"/>
  <c r="AN12" i="1"/>
  <c r="AQ12" i="1" s="1"/>
  <c r="AN13" i="1"/>
  <c r="AQ13" i="1" s="1"/>
  <c r="AN14" i="1"/>
  <c r="AQ14" i="1" s="1"/>
  <c r="AN15" i="1"/>
  <c r="AQ15" i="1" s="1"/>
  <c r="AN16" i="1"/>
  <c r="AQ16" i="1" s="1"/>
  <c r="AN17" i="1"/>
  <c r="AQ17" i="1" s="1"/>
  <c r="AN18" i="1"/>
  <c r="AQ18" i="1" s="1"/>
  <c r="AN19" i="1"/>
  <c r="AQ19" i="1" s="1"/>
  <c r="AN20" i="1"/>
  <c r="AQ20" i="1" s="1"/>
  <c r="AN21" i="1"/>
  <c r="AQ21" i="1" s="1"/>
  <c r="AN22" i="1"/>
  <c r="AQ22" i="1" s="1"/>
  <c r="AN23" i="1"/>
  <c r="AQ23" i="1" s="1"/>
  <c r="AN24" i="1"/>
  <c r="AQ24" i="1" s="1"/>
  <c r="AN25" i="1"/>
  <c r="AQ25" i="1" s="1"/>
  <c r="AN26" i="1"/>
  <c r="AQ26" i="1" s="1"/>
  <c r="AN27" i="1"/>
  <c r="AQ27" i="1" s="1"/>
  <c r="AN28" i="1"/>
  <c r="AQ28" i="1" s="1"/>
  <c r="AN29" i="1"/>
  <c r="AQ29" i="1" s="1"/>
  <c r="AN30" i="1"/>
  <c r="AQ30" i="1" s="1"/>
  <c r="AN31" i="1"/>
  <c r="AQ31" i="1" s="1"/>
  <c r="AN32" i="1"/>
  <c r="AQ32" i="1" s="1"/>
  <c r="AN33" i="1"/>
  <c r="AQ33" i="1" s="1"/>
  <c r="AN34" i="1"/>
  <c r="AQ34" i="1" s="1"/>
  <c r="AN35" i="1"/>
  <c r="AQ35" i="1" s="1"/>
  <c r="AN36" i="1"/>
  <c r="AQ36" i="1" s="1"/>
  <c r="AN2" i="1"/>
  <c r="AQ2" i="1" s="1"/>
  <c r="AE3" i="1"/>
  <c r="AH3" i="1" s="1"/>
  <c r="AE4" i="1"/>
  <c r="AH4" i="1" s="1"/>
  <c r="AE5" i="1"/>
  <c r="AH5" i="1" s="1"/>
  <c r="AE6" i="1"/>
  <c r="AH6" i="1" s="1"/>
  <c r="AE7" i="1"/>
  <c r="AH7" i="1" s="1"/>
  <c r="AE8" i="1"/>
  <c r="AH8" i="1" s="1"/>
  <c r="AE9" i="1"/>
  <c r="AH9" i="1" s="1"/>
  <c r="AE10" i="1"/>
  <c r="AH10" i="1" s="1"/>
  <c r="AE11" i="1"/>
  <c r="AH11" i="1" s="1"/>
  <c r="AE12" i="1"/>
  <c r="AH12" i="1" s="1"/>
  <c r="AE13" i="1"/>
  <c r="AH13" i="1" s="1"/>
  <c r="AE14" i="1"/>
  <c r="AH14" i="1" s="1"/>
  <c r="AE15" i="1"/>
  <c r="AH15" i="1" s="1"/>
  <c r="AE16" i="1"/>
  <c r="AH16" i="1" s="1"/>
  <c r="AE17" i="1"/>
  <c r="AH17" i="1" s="1"/>
  <c r="AE18" i="1"/>
  <c r="AH18" i="1" s="1"/>
  <c r="AE19" i="1"/>
  <c r="AH19" i="1" s="1"/>
  <c r="AE20" i="1"/>
  <c r="AH20" i="1" s="1"/>
  <c r="AE21" i="1"/>
  <c r="AH21" i="1" s="1"/>
  <c r="AE22" i="1"/>
  <c r="AH22" i="1" s="1"/>
  <c r="AE23" i="1"/>
  <c r="AH23" i="1" s="1"/>
  <c r="AE24" i="1"/>
  <c r="AH24" i="1" s="1"/>
  <c r="AE25" i="1"/>
  <c r="AH25" i="1" s="1"/>
  <c r="AE26" i="1"/>
  <c r="AH26" i="1" s="1"/>
  <c r="AE27" i="1"/>
  <c r="AH27" i="1" s="1"/>
  <c r="AE28" i="1"/>
  <c r="AH28" i="1" s="1"/>
  <c r="AE29" i="1"/>
  <c r="AH29" i="1" s="1"/>
  <c r="AE30" i="1"/>
  <c r="AH30" i="1" s="1"/>
  <c r="AE31" i="1"/>
  <c r="AH31" i="1" s="1"/>
  <c r="AE32" i="1"/>
  <c r="AH32" i="1" s="1"/>
  <c r="AE33" i="1"/>
  <c r="AH33" i="1" s="1"/>
  <c r="AE34" i="1"/>
  <c r="AH34" i="1" s="1"/>
  <c r="AE35" i="1"/>
  <c r="AH35" i="1" s="1"/>
  <c r="AE36" i="1"/>
  <c r="AH36" i="1" s="1"/>
  <c r="AE37" i="1"/>
  <c r="AH37" i="1" s="1"/>
  <c r="AE38" i="1"/>
  <c r="AH38" i="1" s="1"/>
  <c r="AE39" i="1"/>
  <c r="AH39" i="1" s="1"/>
  <c r="AE40" i="1"/>
  <c r="AH40" i="1" s="1"/>
  <c r="AE41" i="1"/>
  <c r="AH41" i="1" s="1"/>
  <c r="AE42" i="1"/>
  <c r="AH42" i="1" s="1"/>
  <c r="AE43" i="1"/>
  <c r="AH43" i="1" s="1"/>
  <c r="AE44" i="1"/>
  <c r="AH44" i="1" s="1"/>
  <c r="AE45" i="1"/>
  <c r="AH45" i="1" s="1"/>
  <c r="AE46" i="1"/>
  <c r="AH46" i="1" s="1"/>
  <c r="AE2" i="1"/>
  <c r="AH2" i="1" s="1"/>
  <c r="M2" i="1"/>
  <c r="V3" i="1"/>
  <c r="Y3" i="1" s="1"/>
  <c r="V4" i="1"/>
  <c r="Y4" i="1" s="1"/>
  <c r="V5" i="1"/>
  <c r="Y5" i="1" s="1"/>
  <c r="V6" i="1"/>
  <c r="Y6" i="1" s="1"/>
  <c r="V7" i="1"/>
  <c r="Y7" i="1" s="1"/>
  <c r="V8" i="1"/>
  <c r="Y8" i="1" s="1"/>
  <c r="V9" i="1"/>
  <c r="Y9" i="1" s="1"/>
  <c r="V10" i="1"/>
  <c r="Y10" i="1" s="1"/>
  <c r="V11" i="1"/>
  <c r="Y11" i="1" s="1"/>
  <c r="V12" i="1"/>
  <c r="Y12" i="1" s="1"/>
  <c r="V13" i="1"/>
  <c r="Y13" i="1" s="1"/>
  <c r="V14" i="1"/>
  <c r="Y14" i="1" s="1"/>
  <c r="V15" i="1"/>
  <c r="Y15" i="1" s="1"/>
  <c r="V16" i="1"/>
  <c r="Y16" i="1" s="1"/>
  <c r="V17" i="1"/>
  <c r="Y17" i="1" s="1"/>
  <c r="V18" i="1"/>
  <c r="Y18" i="1" s="1"/>
  <c r="V19" i="1"/>
  <c r="Y19" i="1" s="1"/>
  <c r="V20" i="1"/>
  <c r="Y20" i="1" s="1"/>
  <c r="V21" i="1"/>
  <c r="Y21" i="1" s="1"/>
  <c r="V22" i="1"/>
  <c r="Y22" i="1" s="1"/>
  <c r="V23" i="1"/>
  <c r="Y23" i="1" s="1"/>
  <c r="V24" i="1"/>
  <c r="Y24" i="1" s="1"/>
  <c r="V25" i="1"/>
  <c r="Y25" i="1" s="1"/>
  <c r="V26" i="1"/>
  <c r="Y26" i="1" s="1"/>
  <c r="V27" i="1"/>
  <c r="Y27" i="1" s="1"/>
  <c r="V28" i="1"/>
  <c r="Y28" i="1" s="1"/>
  <c r="V29" i="1"/>
  <c r="Y29" i="1" s="1"/>
  <c r="V30" i="1"/>
  <c r="Y30" i="1" s="1"/>
  <c r="V31" i="1"/>
  <c r="Y31" i="1" s="1"/>
  <c r="V32" i="1"/>
  <c r="Y32" i="1" s="1"/>
  <c r="V33" i="1"/>
  <c r="Y33" i="1" s="1"/>
  <c r="V34" i="1"/>
  <c r="Y34" i="1" s="1"/>
  <c r="V35" i="1"/>
  <c r="Y35" i="1" s="1"/>
  <c r="V36" i="1"/>
  <c r="Y36" i="1" s="1"/>
  <c r="V37" i="1"/>
  <c r="Y37" i="1" s="1"/>
  <c r="V38" i="1"/>
  <c r="Y38" i="1" s="1"/>
  <c r="V39" i="1"/>
  <c r="Y39" i="1" s="1"/>
  <c r="V40" i="1"/>
  <c r="Y40" i="1" s="1"/>
  <c r="V41" i="1"/>
  <c r="Y41" i="1" s="1"/>
  <c r="V42" i="1"/>
  <c r="Y42" i="1" s="1"/>
  <c r="V43" i="1"/>
  <c r="Y43" i="1" s="1"/>
  <c r="V44" i="1"/>
  <c r="Y44" i="1" s="1"/>
  <c r="V45" i="1"/>
  <c r="Y45" i="1" s="1"/>
  <c r="V46" i="1"/>
  <c r="Y46" i="1" s="1"/>
  <c r="V47" i="1"/>
  <c r="Y47" i="1" s="1"/>
  <c r="V48" i="1"/>
  <c r="Y48" i="1" s="1"/>
  <c r="V49" i="1"/>
  <c r="Y49" i="1" s="1"/>
  <c r="V50" i="1"/>
  <c r="Y50" i="1" s="1"/>
  <c r="V51" i="1"/>
  <c r="Y51" i="1" s="1"/>
  <c r="V52" i="1"/>
  <c r="Y52" i="1" s="1"/>
  <c r="V53" i="1"/>
  <c r="Y53" i="1" s="1"/>
  <c r="V54" i="1"/>
  <c r="Y54" i="1" s="1"/>
  <c r="V55" i="1"/>
  <c r="Y55" i="1" s="1"/>
  <c r="V56" i="1"/>
  <c r="Y56" i="1" s="1"/>
  <c r="V2" i="1"/>
  <c r="Y2" i="1" s="1"/>
  <c r="M3" i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3" i="1"/>
  <c r="P33" i="1" s="1"/>
  <c r="M34" i="1"/>
  <c r="P34" i="1" s="1"/>
  <c r="M35" i="1"/>
  <c r="P35" i="1" s="1"/>
  <c r="M36" i="1"/>
  <c r="P36" i="1" s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2" i="1"/>
  <c r="G2" i="1" s="1"/>
  <c r="CL48" i="1"/>
  <c r="CL47" i="1"/>
  <c r="CL46" i="1"/>
  <c r="CL45" i="1"/>
  <c r="CL44" i="1"/>
  <c r="CL43" i="1"/>
  <c r="CU34" i="1"/>
  <c r="CU33" i="1"/>
  <c r="CU32" i="1"/>
  <c r="CU31" i="1"/>
  <c r="CU30" i="1"/>
  <c r="CU29" i="1"/>
  <c r="DT36" i="1" l="1"/>
  <c r="DZ36" i="1"/>
  <c r="EC36" i="1"/>
  <c r="DH36" i="1"/>
  <c r="DQ36" i="1"/>
  <c r="DK36" i="1"/>
  <c r="AQ38" i="1"/>
  <c r="AZ38" i="1"/>
  <c r="AN38" i="1"/>
  <c r="AW38" i="1"/>
  <c r="EW37" i="1"/>
  <c r="EW36" i="1"/>
  <c r="EW35" i="1"/>
  <c r="EW34" i="1"/>
  <c r="EW33" i="1"/>
  <c r="EW32" i="1"/>
  <c r="EN43" i="1"/>
  <c r="EN42" i="1"/>
  <c r="EN41" i="1"/>
  <c r="EN40" i="1"/>
  <c r="EN39" i="1"/>
  <c r="EN38" i="1"/>
  <c r="EN37" i="1" l="1"/>
  <c r="EN36" i="1"/>
  <c r="EN35" i="1"/>
  <c r="EN34" i="1"/>
  <c r="EN33" i="1"/>
  <c r="EN32" i="1"/>
  <c r="FF37" i="1"/>
  <c r="FF36" i="1"/>
  <c r="FF35" i="1"/>
  <c r="FF34" i="1"/>
  <c r="FF33" i="1"/>
  <c r="FF32" i="1"/>
  <c r="AS31" i="1"/>
  <c r="AS32" i="1"/>
  <c r="AS33" i="1"/>
  <c r="AS34" i="1"/>
  <c r="AS35" i="1"/>
  <c r="AS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I59" i="1" l="1"/>
  <c r="I58" i="1"/>
  <c r="I57" i="1"/>
  <c r="R34" i="1"/>
  <c r="R35" i="1"/>
  <c r="R36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EE24" i="1" l="1"/>
  <c r="EE23" i="1"/>
  <c r="EE22" i="1"/>
  <c r="EE21" i="1"/>
  <c r="EE20" i="1"/>
  <c r="EE19" i="1"/>
  <c r="EE18" i="1"/>
  <c r="EE17" i="1"/>
  <c r="EE16" i="1"/>
  <c r="R32" i="1" l="1"/>
  <c r="R33" i="1"/>
  <c r="R25" i="1"/>
  <c r="R26" i="1"/>
  <c r="R27" i="1"/>
  <c r="R28" i="1"/>
  <c r="R29" i="1"/>
  <c r="R30" i="1"/>
  <c r="R31" i="1"/>
  <c r="AA2" i="1" l="1"/>
  <c r="AA11" i="1" l="1"/>
  <c r="AA26" i="1"/>
  <c r="AA27" i="1"/>
  <c r="AA28" i="1"/>
  <c r="AA29" i="1"/>
  <c r="CC2" i="1"/>
  <c r="FF2" i="1"/>
  <c r="FF11" i="1" l="1"/>
  <c r="EW11" i="1"/>
  <c r="EN11" i="1"/>
  <c r="FF10" i="1"/>
  <c r="EW10" i="1"/>
  <c r="EN10" i="1"/>
  <c r="FF9" i="1"/>
  <c r="EW9" i="1"/>
  <c r="EN9" i="1"/>
  <c r="FF8" i="1"/>
  <c r="EW8" i="1"/>
  <c r="EN8" i="1"/>
  <c r="FF7" i="1"/>
  <c r="EW7" i="1"/>
  <c r="EN7" i="1"/>
  <c r="FF6" i="1"/>
  <c r="EW6" i="1"/>
  <c r="EN6" i="1"/>
  <c r="FF5" i="1"/>
  <c r="EW5" i="1"/>
  <c r="EN5" i="1"/>
  <c r="FF4" i="1"/>
  <c r="EW4" i="1"/>
  <c r="EN4" i="1"/>
  <c r="FF3" i="1"/>
  <c r="EW3" i="1"/>
  <c r="EN3" i="1"/>
  <c r="EW2" i="1"/>
  <c r="EN2" i="1"/>
  <c r="FF22" i="1"/>
  <c r="FF23" i="1"/>
  <c r="FF24" i="1"/>
  <c r="FF25" i="1"/>
  <c r="FF26" i="1"/>
  <c r="FF27" i="1"/>
  <c r="FF28" i="1"/>
  <c r="FF29" i="1"/>
  <c r="FF30" i="1"/>
  <c r="FF31" i="1"/>
  <c r="EW22" i="1"/>
  <c r="EW23" i="1"/>
  <c r="EW24" i="1"/>
  <c r="EW25" i="1"/>
  <c r="EW26" i="1"/>
  <c r="EW27" i="1"/>
  <c r="EW28" i="1"/>
  <c r="EW29" i="1"/>
  <c r="EW30" i="1"/>
  <c r="EW31" i="1"/>
  <c r="EN22" i="1"/>
  <c r="EN23" i="1"/>
  <c r="EN24" i="1"/>
  <c r="EN25" i="1"/>
  <c r="EN26" i="1"/>
  <c r="EN27" i="1"/>
  <c r="EN28" i="1"/>
  <c r="EN29" i="1"/>
  <c r="EN30" i="1"/>
  <c r="EN31" i="1"/>
  <c r="DD29" i="1" l="1"/>
  <c r="DD30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DD22" i="1"/>
  <c r="DD23" i="1"/>
  <c r="DD24" i="1"/>
  <c r="DD25" i="1"/>
  <c r="DD26" i="1"/>
  <c r="DD27" i="1"/>
  <c r="DD28" i="1"/>
  <c r="CU23" i="1"/>
  <c r="CU24" i="1"/>
  <c r="CU25" i="1"/>
  <c r="CU26" i="1"/>
  <c r="CU27" i="1"/>
  <c r="CU28" i="1"/>
  <c r="CU22" i="1"/>
  <c r="CL22" i="1"/>
  <c r="CL23" i="1"/>
  <c r="CL24" i="1"/>
  <c r="CL25" i="1"/>
  <c r="CL26" i="1"/>
  <c r="CL27" i="1"/>
  <c r="CL28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AS22" i="1" l="1"/>
  <c r="AS23" i="1"/>
  <c r="AS24" i="1"/>
  <c r="AS25" i="1"/>
  <c r="AS26" i="1"/>
  <c r="AS27" i="1"/>
  <c r="AS28" i="1"/>
  <c r="AS29" i="1"/>
  <c r="AS30" i="1"/>
  <c r="AJ22" i="1"/>
  <c r="AJ23" i="1"/>
  <c r="AJ24" i="1"/>
  <c r="AJ25" i="1"/>
  <c r="AJ26" i="1"/>
  <c r="AJ27" i="1"/>
  <c r="AJ28" i="1"/>
  <c r="AJ29" i="1"/>
  <c r="AJ30" i="1"/>
  <c r="I35" i="1"/>
  <c r="I36" i="1"/>
  <c r="I37" i="1"/>
  <c r="I38" i="1"/>
  <c r="I39" i="1"/>
  <c r="I34" i="1"/>
  <c r="AA30" i="1"/>
  <c r="AA31" i="1"/>
  <c r="AA32" i="1"/>
  <c r="AA33" i="1"/>
  <c r="AA34" i="1"/>
  <c r="AA35" i="1"/>
  <c r="BT27" i="1"/>
  <c r="BT26" i="1"/>
  <c r="BT25" i="1"/>
  <c r="BT23" i="1"/>
  <c r="BT24" i="1"/>
  <c r="BT22" i="1"/>
  <c r="BK22" i="1"/>
  <c r="BK23" i="1"/>
  <c r="BK24" i="1"/>
  <c r="BK25" i="1"/>
  <c r="BK26" i="1"/>
  <c r="CC31" i="1"/>
  <c r="CC30" i="1"/>
  <c r="CC27" i="1"/>
  <c r="CC28" i="1"/>
  <c r="CC29" i="1"/>
  <c r="CC26" i="1"/>
  <c r="CC25" i="1"/>
  <c r="CC22" i="1"/>
  <c r="CC23" i="1"/>
  <c r="CC24" i="1"/>
  <c r="CC21" i="1"/>
  <c r="DM26" i="1"/>
  <c r="DV26" i="1"/>
  <c r="DV25" i="1"/>
  <c r="DV24" i="1"/>
  <c r="DV23" i="1"/>
  <c r="DV22" i="1"/>
  <c r="EE27" i="1"/>
  <c r="EE28" i="1"/>
  <c r="DM33" i="1"/>
  <c r="DM32" i="1"/>
  <c r="DM31" i="1"/>
  <c r="DM30" i="1"/>
  <c r="DM29" i="1"/>
  <c r="DM28" i="1"/>
  <c r="DM27" i="1"/>
  <c r="DM25" i="1"/>
  <c r="DM24" i="1"/>
  <c r="FF13" i="1"/>
  <c r="FF14" i="1"/>
  <c r="FF15" i="1"/>
  <c r="FF16" i="1"/>
  <c r="FF17" i="1"/>
  <c r="FF18" i="1"/>
  <c r="FF19" i="1"/>
  <c r="FF20" i="1"/>
  <c r="FF21" i="1"/>
  <c r="FF12" i="1"/>
  <c r="EW13" i="1"/>
  <c r="EW14" i="1"/>
  <c r="EW15" i="1"/>
  <c r="EW16" i="1"/>
  <c r="EW17" i="1"/>
  <c r="EW18" i="1"/>
  <c r="EW19" i="1"/>
  <c r="EW20" i="1"/>
  <c r="EW21" i="1"/>
  <c r="EW12" i="1"/>
  <c r="EN13" i="1"/>
  <c r="EN14" i="1"/>
  <c r="EN15" i="1"/>
  <c r="EN16" i="1"/>
  <c r="EN17" i="1"/>
  <c r="EN18" i="1"/>
  <c r="EN19" i="1"/>
  <c r="EN20" i="1"/>
  <c r="EN21" i="1"/>
  <c r="EN1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" i="1"/>
  <c r="CU3" i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" i="1"/>
  <c r="BK3" i="1" l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" i="1"/>
  <c r="CC19" i="1"/>
  <c r="CC20" i="1"/>
  <c r="CC18" i="1"/>
  <c r="DM23" i="1"/>
  <c r="DM2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" i="1"/>
  <c r="EE3" i="1"/>
  <c r="EE4" i="1"/>
  <c r="EE5" i="1"/>
  <c r="EE6" i="1"/>
  <c r="EE7" i="1"/>
  <c r="EE8" i="1"/>
  <c r="EE9" i="1"/>
  <c r="EE10" i="1"/>
  <c r="EE11" i="1"/>
  <c r="EE12" i="1"/>
  <c r="EE13" i="1"/>
  <c r="EE14" i="1"/>
  <c r="EE15" i="1"/>
  <c r="EE25" i="1"/>
  <c r="EE26" i="1"/>
  <c r="EE2" i="1"/>
  <c r="CC12" i="1"/>
  <c r="CC11" i="1"/>
  <c r="DM36" i="1" l="1"/>
  <c r="EE36" i="1"/>
  <c r="DV36" i="1"/>
  <c r="CC3" i="1"/>
  <c r="CC4" i="1"/>
  <c r="CC5" i="1"/>
  <c r="CC6" i="1"/>
  <c r="CC7" i="1"/>
  <c r="CC8" i="1"/>
  <c r="CC9" i="1"/>
  <c r="CC10" i="1"/>
  <c r="CC13" i="1"/>
  <c r="CC14" i="1"/>
  <c r="CC15" i="1"/>
  <c r="CC16" i="1"/>
  <c r="CC17" i="1"/>
  <c r="BT2" i="1"/>
  <c r="BB3" i="1"/>
  <c r="BB4" i="1"/>
  <c r="BB5" i="1"/>
  <c r="BB6" i="1"/>
  <c r="BB7" i="1"/>
  <c r="BB8" i="1"/>
  <c r="BB9" i="1"/>
  <c r="BB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I21" i="1"/>
  <c r="I20" i="1"/>
  <c r="I19" i="1"/>
  <c r="AA16" i="1"/>
  <c r="AA15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" i="1"/>
  <c r="AA25" i="1"/>
  <c r="AA24" i="1"/>
  <c r="AA23" i="1"/>
  <c r="AA22" i="1"/>
  <c r="R22" i="1"/>
  <c r="R23" i="1"/>
  <c r="R24" i="1"/>
  <c r="I25" i="1"/>
  <c r="I26" i="1"/>
  <c r="I27" i="1"/>
  <c r="I28" i="1"/>
  <c r="I29" i="1"/>
  <c r="I30" i="1"/>
  <c r="I31" i="1"/>
  <c r="I32" i="1"/>
  <c r="I33" i="1"/>
  <c r="AS38" i="1" l="1"/>
  <c r="BB38" i="1"/>
  <c r="AA21" i="1"/>
  <c r="AA20" i="1"/>
  <c r="AA19" i="1"/>
  <c r="AA18" i="1"/>
  <c r="AA17" i="1"/>
  <c r="AA14" i="1"/>
  <c r="AA13" i="1"/>
  <c r="AA12" i="1"/>
  <c r="AA10" i="1"/>
  <c r="AA9" i="1"/>
  <c r="AA8" i="1"/>
  <c r="AA7" i="1"/>
  <c r="AA6" i="1"/>
  <c r="AA5" i="1"/>
  <c r="AA4" i="1"/>
  <c r="AA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2" i="1"/>
  <c r="I23" i="1"/>
  <c r="I24" i="1"/>
</calcChain>
</file>

<file path=xl/sharedStrings.xml><?xml version="1.0" encoding="utf-8"?>
<sst xmlns="http://schemas.openxmlformats.org/spreadsheetml/2006/main" count="1285" uniqueCount="303">
  <si>
    <t>05_08_2025</t>
  </si>
  <si>
    <t>30_07_2025</t>
  </si>
  <si>
    <t>24_07_2025</t>
  </si>
  <si>
    <t>13_08_2025</t>
  </si>
  <si>
    <t>TERT_M_NT_Exon_cyto</t>
  </si>
  <si>
    <t>TERT_M_NT_Intron_nuc</t>
  </si>
  <si>
    <t>TERT_M_NT_Intron_cyto</t>
  </si>
  <si>
    <t>TERT_M_NT_Free_intron</t>
  </si>
  <si>
    <t>TERT_M_NT_total_PIR</t>
  </si>
  <si>
    <t>TERT_M_CDK1_Exon_nuc</t>
  </si>
  <si>
    <t>TERT_M_CDK1_Exon_cyto</t>
  </si>
  <si>
    <t>TERT_M_CDK1_Intron_nuc</t>
  </si>
  <si>
    <t>TERT_M_CDK1_Intron_cyto</t>
  </si>
  <si>
    <t>TERT_M_CDK1_Free_intron</t>
  </si>
  <si>
    <t>TERT_M_CDK1_total_PIR</t>
  </si>
  <si>
    <t>TERT_M_Clk_DYRK_Exon_nuc</t>
  </si>
  <si>
    <t>TERT_M_Clk_DYRK_Exon_cyto</t>
  </si>
  <si>
    <t>TERT_M_Clk_DYRK_Intron_nuc</t>
  </si>
  <si>
    <t>TERT_M_Clk_DYRK_Intron_cyto</t>
  </si>
  <si>
    <t>TERT_M_Clk_DYRK_Free_intron</t>
  </si>
  <si>
    <t>TERT_M_Clk_DYRK_total_PIR</t>
  </si>
  <si>
    <t>CENPT_M_NT_Exon_nuc</t>
  </si>
  <si>
    <t>CENPT_M_NT_Exon_cyto</t>
  </si>
  <si>
    <t>CENPT_M_NT_Intron_nuc</t>
  </si>
  <si>
    <t>CENPT_M_NT_Intron_cyto</t>
  </si>
  <si>
    <t>CENPT_M_NT_Free_intron</t>
  </si>
  <si>
    <t>CENPT_M_NT_total_PIR</t>
  </si>
  <si>
    <t>CENPT_M_CDK1_Exon_nuc</t>
  </si>
  <si>
    <t>CENPT_M_CDK1_Exon_cyto</t>
  </si>
  <si>
    <t>CENPT_M_CDK1_Intron_nuc</t>
  </si>
  <si>
    <t>CENPT_M_CDK1_Intron_cyto</t>
  </si>
  <si>
    <t>CENPT_M_CDK1_Free_intron</t>
  </si>
  <si>
    <t>CENPT_M_CDK1_total_PIR</t>
  </si>
  <si>
    <t>CENPT_M_Clk_DYRK_Exon_nuc</t>
  </si>
  <si>
    <t>CENPT_M_Clk_DYRK_Exon_cyto</t>
  </si>
  <si>
    <t>CENPT_M_Clk_DYRK_Intron_nuc</t>
  </si>
  <si>
    <t>CENPT_M_Clk_DYRK_Intron_cyto</t>
  </si>
  <si>
    <t>CENPT_M_Clk_DYRK_Free_intron</t>
  </si>
  <si>
    <t>CENPT_M_Clk_DYRK_total_PIR</t>
  </si>
  <si>
    <t>CENPT_Inter_NT_Exon_nuc</t>
  </si>
  <si>
    <t>CENPT_Inter_NT_Exon_cyto</t>
  </si>
  <si>
    <t>CENPT_Inter_NT_Intron_nuc</t>
  </si>
  <si>
    <t>CENPT_Inter_NT_Intron_cyto</t>
  </si>
  <si>
    <t>CENPT_Inter_NT_Free_intron</t>
  </si>
  <si>
    <t>CENPT_Inter_NT_total_PIR</t>
  </si>
  <si>
    <t>CENPT_Inter_CDK1_total_PIR</t>
  </si>
  <si>
    <t>CENPT_Inter_CDK1_Exon_nuc</t>
  </si>
  <si>
    <t>CENPT_Inter_CDK1_Exon_cyto</t>
  </si>
  <si>
    <t>CENPT_Inter_CDK1_Intron_nuc</t>
  </si>
  <si>
    <t>CENPT_Inter_CDK1_Intron_cyto</t>
  </si>
  <si>
    <t>CENPT_Inter_CDK1_Free_intron</t>
  </si>
  <si>
    <t>CENPT_Inter_Clk_DYRK_Exon_nuc</t>
  </si>
  <si>
    <t>CENPT_Inter_Clk_DYRK_Exon_cyto</t>
  </si>
  <si>
    <t>CENPT_Inter_Clk_DYRK_Intron_nuc</t>
  </si>
  <si>
    <t>CENPT_Inter_Clk_DYRK_Intron_cyto</t>
  </si>
  <si>
    <t>CENPT_Inter_Clk_DYRK_Free_intron</t>
  </si>
  <si>
    <t>CENPT_Inter_Clk_DYRK_total_PIR</t>
  </si>
  <si>
    <t>METTL3_M_NT_Exon_nuc</t>
  </si>
  <si>
    <t>METTL3_M_NT_Exon_cyto</t>
  </si>
  <si>
    <t>METTL3_M_NT_Intron_nuc</t>
  </si>
  <si>
    <t>METTL3_M_NT_Intron_cyto</t>
  </si>
  <si>
    <t>METTL3_M_NT_Free_intron</t>
  </si>
  <si>
    <t>METTL3_M_NT_total_PIR</t>
  </si>
  <si>
    <t>METTL3_M_CDK1_Exon_nuc</t>
  </si>
  <si>
    <t>METTL3_M_CDK1_Exon_cyto</t>
  </si>
  <si>
    <t>METTL3_M_CDK1_Intron_nuc</t>
  </si>
  <si>
    <t>METTL3_M_CDK1_Intron_cyto</t>
  </si>
  <si>
    <t>METTL3_M_CDK1_Free_intron</t>
  </si>
  <si>
    <t>METTL3_M_CDK1_total_PIR</t>
  </si>
  <si>
    <t>METTL3_M_Clk_DYRK_Exon_nuc</t>
  </si>
  <si>
    <t>METTL3_M_Clk_DYRK_Exon_cyto</t>
  </si>
  <si>
    <t>METTL3_M_Clk_DYRK_Intron_nuc</t>
  </si>
  <si>
    <t>METTL3_M_Clk_DYRK_Intron_cyto</t>
  </si>
  <si>
    <t>METTL3_M_Clk_DYRK_Free_intron</t>
  </si>
  <si>
    <t>METTL3_M_Clk_DYRK_total_PIR</t>
  </si>
  <si>
    <t>11_09_2025</t>
  </si>
  <si>
    <t>METTL3_Inter_NT_Exon_nuc</t>
  </si>
  <si>
    <t>METTL3_Inter_NT_Exon_cyto</t>
  </si>
  <si>
    <t>METTL3_Inter_NT_Intron_cyto</t>
  </si>
  <si>
    <t>METTL3_Inter_NT_Free_intron</t>
  </si>
  <si>
    <t>METTL3_Inter_Clk_DYRK_Exon_nuc</t>
  </si>
  <si>
    <t>METTL3_Inter_Clk_DYRK_Exon_cyto</t>
  </si>
  <si>
    <t>METTL3_Inter_Clk_DYRK_Intron_cyto</t>
  </si>
  <si>
    <t>METTL3_Inter_Clk_DYRK_Free_intron</t>
  </si>
  <si>
    <t>METTL3_Inter_CDK1_Exon_nuc</t>
  </si>
  <si>
    <t>METTL3_Inter_CDK1_Exon_cyto</t>
  </si>
  <si>
    <t>METTL3_Inter_CDK1_Intron_cyto</t>
  </si>
  <si>
    <t>METTL3_Inter_CDK1_Free_intron</t>
  </si>
  <si>
    <t>TERT_Inter_NT_Exon_nuc</t>
  </si>
  <si>
    <t>TERT_Inter_NT_Exon_cyto</t>
  </si>
  <si>
    <t>TERT_Inter_NT_Intron_cyto</t>
  </si>
  <si>
    <t>TERT_Inter_NT_Free_intron</t>
  </si>
  <si>
    <t>TERT_Inter_Clk_DYRK_Exon_cyto</t>
  </si>
  <si>
    <t>TERT_Inter_Clk_DYRK_Exon_nuc</t>
  </si>
  <si>
    <t>TERT_Inter_Clk_DYRK_Intron_cyto</t>
  </si>
  <si>
    <t>TERT_Inter_Clk_DYRK_Free_intron</t>
  </si>
  <si>
    <t>TERT_Inter_CDK1_Exon_nuc</t>
  </si>
  <si>
    <t>TERT_Inter_CDK1_Exon_cyto</t>
  </si>
  <si>
    <t>TERT_Inter_CDK1_Intron_cyto</t>
  </si>
  <si>
    <t>TERT_Inter_CDK1_Free_intron</t>
  </si>
  <si>
    <t>FANCA_M_NT_Exon_cyto</t>
  </si>
  <si>
    <t>FANCA_M_NT_Intron_nuc</t>
  </si>
  <si>
    <t>FANCA_M_NT_Intron_cyto</t>
  </si>
  <si>
    <t>FANCA_M_NT_Free_intron</t>
  </si>
  <si>
    <t>FANCA_M_NT_total_PIR</t>
  </si>
  <si>
    <t>FANCA_M_CDK1_Exon_nuc</t>
  </si>
  <si>
    <t>FANCA_M_CDK1_Exon_cyto</t>
  </si>
  <si>
    <t>FANCA_M_CDK1_Intron_nuc</t>
  </si>
  <si>
    <t>FANCA_M_CDK1_Intron_cyto</t>
  </si>
  <si>
    <t>FANCA_M_CDK1_Free_intron</t>
  </si>
  <si>
    <t>FANCA_M_CDK1_total_PIR</t>
  </si>
  <si>
    <t>FANCA_M_Clk_DYRK_Exon_nuc</t>
  </si>
  <si>
    <t>FANCA_M_Clk_DYRK_Exon_cyto</t>
  </si>
  <si>
    <t>FANCA_M_Clk_DYRK_Intron_nuc</t>
  </si>
  <si>
    <t>FANCA_M_Clk_DYRK_Intron_cyto</t>
  </si>
  <si>
    <t>FANCA_M_Clk_DYRK_Free_intron</t>
  </si>
  <si>
    <t>FANCA_M_Clk_DYRK_total_PIR</t>
  </si>
  <si>
    <t>FANCA_M_NT_Exon_nuc</t>
  </si>
  <si>
    <t>FANCA_Inter_NT_Exon_nuc</t>
  </si>
  <si>
    <t>FANCA_Inter_NT_Exon_cyto</t>
  </si>
  <si>
    <t>FANCA_Inter_NT_Intron_nuc</t>
  </si>
  <si>
    <t>FANCA_Inter_NT_Intron_cyto</t>
  </si>
  <si>
    <t>FANCA_Inter_NT_Free_intron</t>
  </si>
  <si>
    <t>FANCA_Inter_NT_total_PIR</t>
  </si>
  <si>
    <t>FANCA_Inter_CDK1_Exon_nuc</t>
  </si>
  <si>
    <t>FANCA_Inter_CDK1_Exon_cyto</t>
  </si>
  <si>
    <t>FANCA_Inter_CDK1_Intron_nuc</t>
  </si>
  <si>
    <t>FANCA_Inter_CDK1_Intron_cyto</t>
  </si>
  <si>
    <t>FANCA_Inter_CDK1_Free_intron</t>
  </si>
  <si>
    <t>FANCA_Inter_CDK1_total_PIR</t>
  </si>
  <si>
    <t>FANCA_Inter_Clk_DYRK_Exon_nuc</t>
  </si>
  <si>
    <t>FANCA_Inter_Clk_DYRK_Exon_cyto</t>
  </si>
  <si>
    <t>FANCA_Inter_Clk_DYRK_Intron_nuc</t>
  </si>
  <si>
    <t>FANCA_Inter_Clk_DYRK_Intron_cyto</t>
  </si>
  <si>
    <t>FANCA_Inter_Clk_DYRK_Free_intron</t>
  </si>
  <si>
    <t>FANCA_Inter_Clk_DYRK_total_PIR</t>
  </si>
  <si>
    <t>METTL3_Inter_NT_total_PIR</t>
  </si>
  <si>
    <t>METTL3_Inter_Clk_DYRK_total_PIR</t>
  </si>
  <si>
    <t>METTL3_Inter_CDK1_total_PIR</t>
  </si>
  <si>
    <t>TERT_Inter_Clk_DYRK_total_PIR</t>
  </si>
  <si>
    <t>TERT_Inter_CDK1_total_PIR</t>
  </si>
  <si>
    <t>METTL3_Inter_NT_Intron_nuc</t>
  </si>
  <si>
    <t>TERT_Inter_CDK1_Intron_nuc</t>
  </si>
  <si>
    <t>TERT_Inter_NT_total_PIR</t>
  </si>
  <si>
    <t>METTL3_Inter_Clk_DYRK_Intron_nuc</t>
  </si>
  <si>
    <t>METTL3_Inter_CDK1_Intron_nuc</t>
  </si>
  <si>
    <t>TERT_Inter_NT_Intron_nuc</t>
  </si>
  <si>
    <t>TERT_Inter_Clk_DYRK_Intron_nuc</t>
  </si>
  <si>
    <t>FANCA_M_NT_replica</t>
  </si>
  <si>
    <t>FANCA_M_CDK1_replica</t>
  </si>
  <si>
    <t>FANCA_M_Clk_DYRK_replica</t>
  </si>
  <si>
    <t>FANCA_Inter_NT_replica</t>
  </si>
  <si>
    <t>FANCA_Inter_CDK1_replica</t>
  </si>
  <si>
    <t>FANCA_Inter_Clk_DYRK_replica</t>
  </si>
  <si>
    <t>CENPT_M_NT_replica</t>
  </si>
  <si>
    <t>CENPT_M_CDK1_replica</t>
  </si>
  <si>
    <t>CENPT_M_Clk_DYRK_replica</t>
  </si>
  <si>
    <t>CENPT_Inter_NT_replica</t>
  </si>
  <si>
    <t>CENPT_Inter_CDK1_replica</t>
  </si>
  <si>
    <t>CENPT_Inter_Clk_DYRK_replica</t>
  </si>
  <si>
    <t>METTL3_M_NT_replica</t>
  </si>
  <si>
    <t>METTL3_M_CDK1_replica</t>
  </si>
  <si>
    <t>METTL3_M_Clk_DYRK_replica</t>
  </si>
  <si>
    <t>METTL3_Inter_NT_replica</t>
  </si>
  <si>
    <t>METTL3_Inter_Clk_DYRK_replica</t>
  </si>
  <si>
    <t>METTL3_Inter_CDK1_replica</t>
  </si>
  <si>
    <t>TERT_M_NT_replica</t>
  </si>
  <si>
    <t>TERT_M_CDK1_replica</t>
  </si>
  <si>
    <t>TERT_Inter_NT_replica</t>
  </si>
  <si>
    <t>TERT_Inter_Clk_DYRK_replica</t>
  </si>
  <si>
    <t>TERT_Inter_CDK1_replica</t>
  </si>
  <si>
    <t>Brd8_M_NT_replica</t>
  </si>
  <si>
    <t>Brd8_M_CDK1_replica</t>
  </si>
  <si>
    <t>Brd8_M_Clk_DYRK_replica</t>
  </si>
  <si>
    <t>Brd8_Inter_NT_replica</t>
  </si>
  <si>
    <t>Brd8_Inter_CDK1_replica</t>
  </si>
  <si>
    <t>Brd8_Inter_Clk_DYRK_replica</t>
  </si>
  <si>
    <t>TERT_M_Clk_DYRK_replica</t>
  </si>
  <si>
    <t>28_01_2026 6h new drugs</t>
  </si>
  <si>
    <t>11_03_2026 old drugs 4h 20% more int3</t>
  </si>
  <si>
    <t>13_03_2026 new new drugs 4h</t>
  </si>
  <si>
    <t>19_03_2026 new new drugs 7h</t>
  </si>
  <si>
    <t>07_03_2025 old drugs 3h</t>
  </si>
  <si>
    <t>28_01_2026</t>
  </si>
  <si>
    <t>28_01_2027</t>
  </si>
  <si>
    <t>28_01_2028</t>
  </si>
  <si>
    <t>11_03_2026 old drugs 4h 20% more int4</t>
  </si>
  <si>
    <t>11_03_2026 old drugs 4h 20% more int5</t>
  </si>
  <si>
    <t>06_03_2026 old drugs 3h 20% more int6</t>
  </si>
  <si>
    <t>new drugs 2026</t>
  </si>
  <si>
    <t>18.01.2026</t>
  </si>
  <si>
    <t>18.01.2027</t>
  </si>
  <si>
    <t>18.01.2028</t>
  </si>
  <si>
    <t>18.01.2029</t>
  </si>
  <si>
    <t>18.01.2030</t>
  </si>
  <si>
    <t>18.01.2031</t>
  </si>
  <si>
    <t>18.01.2032</t>
  </si>
  <si>
    <t>26.02.2026</t>
  </si>
  <si>
    <t>14.01.26</t>
  </si>
  <si>
    <t>21.02.2026</t>
  </si>
  <si>
    <t>13.03.2026</t>
  </si>
  <si>
    <t>14_01_2026</t>
  </si>
  <si>
    <t>14.01.2026</t>
  </si>
  <si>
    <t>11_03_2026 old drugs 3h 20% more int6</t>
  </si>
  <si>
    <t>04_02_2026</t>
  </si>
  <si>
    <t>17_02_2026</t>
  </si>
  <si>
    <t>CENPT_M_NT_Exon_total</t>
  </si>
  <si>
    <t>CENPT_M_NT_Exon_spliced</t>
  </si>
  <si>
    <t>CENPT_M_CDK1_Exon_total</t>
  </si>
  <si>
    <t>CENPT_M_CDK1_Exon_spliced</t>
  </si>
  <si>
    <t>CENPT_M_Clk_DYRK_Exon_total</t>
  </si>
  <si>
    <t>CENPT_M_Clk_DYRK_Exon_spliced</t>
  </si>
  <si>
    <t>CENPT_Inter_NT_Exon_total</t>
  </si>
  <si>
    <t>CENPT_Inter_NT_Exon_spliced</t>
  </si>
  <si>
    <t>CENPT_Inter_CDK1_Exon_total</t>
  </si>
  <si>
    <t>CENPT_Inter_CDK1_Exon_spliced</t>
  </si>
  <si>
    <t>CENPT_Inter_Clk_DYRK_Exon_total</t>
  </si>
  <si>
    <t>CENPT_Inter_Clk_DYRK_Exon_spliced</t>
  </si>
  <si>
    <t>METTL3_M_NT_Exon_total</t>
  </si>
  <si>
    <t>METTL3_M_NT_Exon_spliced</t>
  </si>
  <si>
    <t>METTL3_M_CDK1_Exon_total</t>
  </si>
  <si>
    <t>METTL3_M_CDK1_Exon_spliced</t>
  </si>
  <si>
    <t>METTL3_M_Clk_DYRK_Exon_total</t>
  </si>
  <si>
    <t>METTL3_M_Clk_DYRK_Exon_spliced</t>
  </si>
  <si>
    <t>METTL3_Inter_NT_Exon_total</t>
  </si>
  <si>
    <t>METTL3_Inter_NT_Exon_spliced</t>
  </si>
  <si>
    <t>METTL3_Inter_Clk_DYRK_Exon_total</t>
  </si>
  <si>
    <t>METTL3_Inter_Clk_DYRK_Exon_spliced</t>
  </si>
  <si>
    <t>METTL3_Inter_CDK1_Exon_total</t>
  </si>
  <si>
    <t>METTL3_Inter_CDK1_Exon_spliced</t>
  </si>
  <si>
    <t>TERT_M_NT_Exon_total</t>
  </si>
  <si>
    <t>TERT_M_NT_Exon_spliced</t>
  </si>
  <si>
    <t>TERT_M_CDK1_Exon_total</t>
  </si>
  <si>
    <t>TERT_M_CDK1_Exon_spliced</t>
  </si>
  <si>
    <t>TERT_M_Clk_DYRK_Exon_total</t>
  </si>
  <si>
    <t>TERT_M_Clk_DYRK_Exon_spliced</t>
  </si>
  <si>
    <t>TERT_Inter_NT_Exon_total</t>
  </si>
  <si>
    <t>TERT_Inter_NT_Exon_spliced</t>
  </si>
  <si>
    <t>TERT_Inter_Clk_DYRK_Exon_total</t>
  </si>
  <si>
    <t>TERT_Inter_Clk_DYRK_Exon_spliced</t>
  </si>
  <si>
    <t>TERT_Inter_CDK1_Exon_total</t>
  </si>
  <si>
    <t>TERT_Inter_CDK1_Exon_spliced</t>
  </si>
  <si>
    <t>FANCA_M_NT_Exon_total</t>
  </si>
  <si>
    <t>FANCA_M_NT_Exon_spliced</t>
  </si>
  <si>
    <t>FANCA_M_CDK1_Exon_total</t>
  </si>
  <si>
    <t>FANCA_M_CDK1_Exon_spliced</t>
  </si>
  <si>
    <t>FANCA_M_Clk_DYRK_Exon_total</t>
  </si>
  <si>
    <t>FANCA_M_Clk_DYRK_Exon_spliced</t>
  </si>
  <si>
    <t>FANCA_Inter_NT_Exon_total</t>
  </si>
  <si>
    <t>FANCA_Inter_NT_Exon_spliced</t>
  </si>
  <si>
    <t>FANCA_Inter_CDK1_Exon_total</t>
  </si>
  <si>
    <t>FANCA_Inter_CDK1_Exon_spliced</t>
  </si>
  <si>
    <t>FANCA_Inter_Clk_DYRK_Exon_total</t>
  </si>
  <si>
    <t>FANCA_Inter_Clk_DYRK_Exon_spliced</t>
  </si>
  <si>
    <t>TERT_M_NT_Exon_nuc</t>
  </si>
  <si>
    <t>BRD8_M_NT_Exon_nuc</t>
  </si>
  <si>
    <t>BRD8_M_NT_Exon_cyto</t>
  </si>
  <si>
    <t>BRD8_M_NT_Exon_total</t>
  </si>
  <si>
    <t>BRD8_M_NT_Intron_nuc</t>
  </si>
  <si>
    <t>BRD8_M_NT_Intron_cyto</t>
  </si>
  <si>
    <t>BRD8_M_NT_Exon_spliced</t>
  </si>
  <si>
    <t>BRD8_M_NT_Free_intron</t>
  </si>
  <si>
    <t>BRD8_M_NT_total_PIR</t>
  </si>
  <si>
    <t>BRD8_M_CDK1_Exon_nuc</t>
  </si>
  <si>
    <t>BRD8_M_CDK1_Exon_cyto</t>
  </si>
  <si>
    <t>BRD8_M_CDK1_Exon_total</t>
  </si>
  <si>
    <t>BRD8_M_CDK1_Intron_nuc</t>
  </si>
  <si>
    <t>BRD8_M_CDK1_Intron_cyto</t>
  </si>
  <si>
    <t>BRD8_M_CDK1_Exon_spliced</t>
  </si>
  <si>
    <t>BRD8_M_CDK1_Free_intron</t>
  </si>
  <si>
    <t>BRD8_M_CDK1_total_PIR</t>
  </si>
  <si>
    <t>BRD8_M_Clk_DYRK_Exon_nuc</t>
  </si>
  <si>
    <t>BRD8_M_Clk_DYRK_Exon_cyto</t>
  </si>
  <si>
    <t>BRD8_M_Clk_DYRK_Exon_total</t>
  </si>
  <si>
    <t>BRD8_M_Clk_DYRK_Intron_nuc</t>
  </si>
  <si>
    <t>BRD8_M_Clk_DYRK_Intron_cyto</t>
  </si>
  <si>
    <t>BRD8_M_Clk_DYRK_Exon_spliced</t>
  </si>
  <si>
    <t>BRD8_M_Clk_DYRK_Free_intron</t>
  </si>
  <si>
    <t>BRD8_M_Clk_DYRK_total_PIR</t>
  </si>
  <si>
    <t>BRD8_Inter_NT_Exon_nuc</t>
  </si>
  <si>
    <t>BRD8_Inter_NT_Exon_cyto</t>
  </si>
  <si>
    <t>BRD8_Inter_NT_Exon_total</t>
  </si>
  <si>
    <t>BRD8_Inter_NT_Intron_nuc</t>
  </si>
  <si>
    <t>BRD8_Inter_NT_Intron_cyto</t>
  </si>
  <si>
    <t>BRD8_Inter_NT_Exon_spliced</t>
  </si>
  <si>
    <t>BRD8_Inter_NT_Free_intron</t>
  </si>
  <si>
    <t>BRD8_Inter_NT_total_PIR</t>
  </si>
  <si>
    <t>BRD8_Inter_CDK1_Exon_nuc</t>
  </si>
  <si>
    <t>BRD8_Inter_CDK1_Exon_cyto</t>
  </si>
  <si>
    <t>BRD8_Inter_CDK1_Exon_total</t>
  </si>
  <si>
    <t>BRD8_Inter_CDK1_Intron_nuc</t>
  </si>
  <si>
    <t>BRD8_Inter_CDK1_Intron_cyto</t>
  </si>
  <si>
    <t>BRD8_Inter_CDK1_Exon_spliced</t>
  </si>
  <si>
    <t>BRD8_Inter_CDK1_Free_intron</t>
  </si>
  <si>
    <t>BRD8_Inter_CDK1_total_PIR</t>
  </si>
  <si>
    <t>BRD8_Inter_Clk_DYRK_Exon_nuc</t>
  </si>
  <si>
    <t>BRD8_Inter_Clk_DYRK_Exon_cyto</t>
  </si>
  <si>
    <t>BRD8_Inter_Clk_DYRK_Exon_total</t>
  </si>
  <si>
    <t>BRD8_Inter_Clk_DYRK_Intron_nuc</t>
  </si>
  <si>
    <t>BRD8_Inter_Clk_DYRK_Intron_cyto</t>
  </si>
  <si>
    <t>BRD8_Inter_Clk_DYRK_Exon_spliced</t>
  </si>
  <si>
    <t>BRD8_Inter_Clk_DYRK_Free_intron</t>
  </si>
  <si>
    <t>BRD8_Inter_Clk_DYRK_total_PIR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</si>
</sst>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#,##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D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DF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/>
    </xf>
    <xf numFmtId="0" fontId="0" fillId="6" borderId="0" xfId="0" applyFill="1"/>
    <xf numFmtId="164" fontId="0" fillId="3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1" fillId="0" borderId="0" xfId="0" applyNumberFormat="1" applyFont="1"/>
    <xf numFmtId="164" fontId="0" fillId="0" borderId="0" xfId="0" applyNumberFormat="1" applyAlignment="1">
      <alignment horizontal="center"/>
    </xf>
    <xf numFmtId="2" fontId="0" fillId="0" borderId="0" xfId="0" applyNumberFormat="1"/>
    <xf numFmtId="2" fontId="0" fillId="3" borderId="0" xfId="0" applyNumberFormat="1" applyFill="1"/>
    <xf numFmtId="2" fontId="1" fillId="0" borderId="0" xfId="0" applyNumberFormat="1" applyFont="1" applyAlignment="1">
      <alignment horizontal="center"/>
    </xf>
    <xf numFmtId="0" fontId="1" fillId="2" borderId="2" xfId="0" applyFont="1" applyFill="1" applyBorder="1"/>
    <xf numFmtId="0" fontId="1" fillId="3" borderId="2" xfId="0" applyFont="1" applyFill="1" applyBorder="1"/>
    <xf numFmtId="2" fontId="0" fillId="4" borderId="0" xfId="0" applyNumberFormat="1" applyFill="1"/>
    <xf numFmtId="2" fontId="1" fillId="3" borderId="0" xfId="0" applyNumberFormat="1" applyFont="1" applyFill="1" applyAlignment="1">
      <alignment horizontal="center"/>
    </xf>
    <xf numFmtId="0" fontId="3" fillId="0" borderId="0" xfId="0" applyFont="1"/>
    <xf numFmtId="165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0" borderId="0" xfId="0" applyNumberFormat="1"/>
    <xf numFmtId="0" fontId="1" fillId="0" borderId="6" xfId="0" applyFont="1" applyBorder="1"/>
    <xf numFmtId="0" fontId="5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0" xfId="0" applyFill="1"/>
    <xf numFmtId="2" fontId="1" fillId="8" borderId="0" xfId="0" applyNumberFormat="1" applyFont="1" applyFill="1" applyAlignment="1">
      <alignment horizontal="center"/>
    </xf>
    <xf numFmtId="0" fontId="0" fillId="9" borderId="0" xfId="0" applyFill="1"/>
    <xf numFmtId="2" fontId="0" fillId="9" borderId="0" xfId="0" applyNumberFormat="1" applyFill="1" applyAlignment="1">
      <alignment horizontal="center"/>
    </xf>
    <xf numFmtId="2" fontId="1" fillId="9" borderId="0" xfId="0" applyNumberFormat="1" applyFont="1" applyFill="1" applyAlignment="1">
      <alignment horizontal="center"/>
    </xf>
    <xf numFmtId="0" fontId="1" fillId="9" borderId="0" xfId="0" applyFont="1" applyFill="1"/>
    <xf numFmtId="2" fontId="0" fillId="9" borderId="0" xfId="0" applyNumberFormat="1" applyFill="1"/>
    <xf numFmtId="2" fontId="1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7" fillId="0" borderId="0" xfId="0" applyFont="1"/>
    <xf numFmtId="164" fontId="0" fillId="9" borderId="0" xfId="0" applyNumberFormat="1" applyFill="1" applyAlignment="1">
      <alignment horizontal="center"/>
    </xf>
    <xf numFmtId="0" fontId="0" fillId="7" borderId="0" xfId="0" applyFill="1"/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6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66" fontId="0" fillId="0" borderId="0" xfId="0" applyNumberFormat="1"/>
    <xf numFmtId="0" fontId="0" fillId="10" borderId="0" xfId="0" applyFill="1"/>
    <xf numFmtId="0" fontId="2" fillId="8" borderId="0" xfId="0" applyFont="1" applyFill="1"/>
    <xf numFmtId="0" fontId="2" fillId="11" borderId="0" xfId="0" applyFont="1" applyFill="1"/>
    <xf numFmtId="0" fontId="1" fillId="3" borderId="0" xfId="0" applyFont="1" applyFill="1"/>
    <xf numFmtId="2" fontId="0" fillId="8" borderId="0" xfId="0" applyNumberFormat="1" applyFill="1"/>
    <xf numFmtId="0" fontId="4" fillId="0" borderId="6" xfId="0" applyFont="1" applyBorder="1"/>
    <xf numFmtId="0" fontId="1" fillId="8" borderId="0" xfId="0" applyFont="1" applyFill="1"/>
    <xf numFmtId="0" fontId="1" fillId="7" borderId="0" xfId="0" applyFont="1" applyFill="1"/>
    <xf numFmtId="0" fontId="4" fillId="0" borderId="0" xfId="0" applyFont="1"/>
    <xf numFmtId="0" fontId="0" fillId="6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2" fillId="12" borderId="0" xfId="0" applyFont="1" applyFill="1"/>
    <xf numFmtId="0" fontId="2" fillId="13" borderId="0" xfId="0" applyFont="1" applyFill="1"/>
    <xf numFmtId="0" fontId="2" fillId="0" borderId="0" xfId="0" applyFont="1"/>
    <xf numFmtId="0" fontId="0" fillId="14" borderId="0" xfId="0" applyFill="1"/>
    <xf numFmtId="0" fontId="1" fillId="14" borderId="0" xfId="0" applyFont="1" applyFill="1"/>
    <xf numFmtId="2" fontId="0" fillId="4" borderId="4" xfId="0" applyNumberFormat="1" applyFill="1" applyBorder="1" applyAlignment="1">
      <alignment horizontal="center"/>
    </xf>
    <xf numFmtId="1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0" fillId="15" borderId="0" xfId="0" applyFill="1"/>
    <xf numFmtId="2" fontId="0" fillId="15" borderId="0" xfId="0" applyNumberFormat="1" applyFill="1" applyAlignment="1">
      <alignment horizontal="center"/>
    </xf>
    <xf numFmtId="0" fontId="0" fillId="16" borderId="0" xfId="0" applyFill="1"/>
    <xf numFmtId="164" fontId="0" fillId="16" borderId="0" xfId="0" applyNumberFormat="1" applyFill="1" applyAlignment="1">
      <alignment horizontal="center"/>
    </xf>
    <xf numFmtId="0" fontId="1" fillId="16" borderId="0" xfId="0" applyFont="1" applyFill="1"/>
    <xf numFmtId="2" fontId="1" fillId="7" borderId="0" xfId="0" applyNumberFormat="1" applyFont="1" applyFill="1" applyAlignment="1">
      <alignment horizontal="center"/>
    </xf>
    <xf numFmtId="0" fontId="2" fillId="17" borderId="0" xfId="0" applyFont="1" applyFill="1"/>
    <xf numFmtId="2" fontId="0" fillId="15" borderId="0" xfId="0" applyNumberFormat="1" applyFill="1"/>
    <xf numFmtId="0" fontId="1" fillId="15" borderId="0" xfId="0" applyFont="1" applyFill="1"/>
    <xf numFmtId="0" fontId="0" fillId="4" borderId="3" xfId="0" applyFill="1" applyBorder="1"/>
    <xf numFmtId="0" fontId="2" fillId="18" borderId="0" xfId="0" applyFont="1" applyFill="1"/>
    <xf numFmtId="0" fontId="2" fillId="19" borderId="0" xfId="0" applyFont="1" applyFill="1"/>
    <xf numFmtId="2" fontId="0" fillId="20" borderId="0" xfId="0" applyNumberFormat="1" applyFill="1" applyAlignment="1">
      <alignment horizontal="center"/>
    </xf>
    <xf numFmtId="0" fontId="4" fillId="18" borderId="0" xfId="0" applyFont="1" applyFill="1"/>
    <xf numFmtId="0" fontId="4" fillId="19" borderId="0" xfId="0" applyFont="1" applyFill="1"/>
    <xf numFmtId="0" fontId="4" fillId="21" borderId="0" xfId="0" applyFont="1" applyFill="1"/>
    <xf numFmtId="0" fontId="2" fillId="21" borderId="0" xfId="0" applyFont="1" applyFill="1"/>
    <xf numFmtId="2" fontId="0" fillId="22" borderId="0" xfId="0" applyNumberFormat="1" applyFill="1" applyAlignment="1">
      <alignment horizontal="center"/>
    </xf>
    <xf numFmtId="2" fontId="2" fillId="21" borderId="0" xfId="0" applyNumberFormat="1" applyFont="1" applyFill="1" applyAlignment="1">
      <alignment horizontal="center"/>
    </xf>
    <xf numFmtId="0" fontId="1" fillId="22" borderId="0" xfId="0" applyFont="1" applyFill="1"/>
    <xf numFmtId="0" fontId="0" fillId="22" borderId="0" xfId="0" applyFill="1"/>
    <xf numFmtId="0" fontId="4" fillId="23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2" fontId="0" fillId="14" borderId="0" xfId="0" applyNumberForma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4" fillId="24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4" fillId="23" borderId="0" xfId="0" applyFont="1" applyFill="1"/>
    <xf numFmtId="0" fontId="2" fillId="23" borderId="0" xfId="0" applyFont="1" applyFill="1"/>
    <xf numFmtId="0" fontId="0" fillId="20" borderId="0" xfId="0" applyFill="1"/>
    <xf numFmtId="0" fontId="0" fillId="25" borderId="0" xfId="0" applyFill="1"/>
    <xf numFmtId="2" fontId="0" fillId="25" borderId="0" xfId="0" applyNumberFormat="1" applyFill="1" applyAlignment="1">
      <alignment horizontal="center"/>
    </xf>
    <xf numFmtId="0" fontId="4" fillId="24" borderId="0" xfId="0" applyFont="1" applyFill="1"/>
    <xf numFmtId="0" fontId="0" fillId="26" borderId="0" xfId="0" applyFill="1"/>
    <xf numFmtId="164" fontId="0" fillId="26" borderId="0" xfId="0" applyNumberFormat="1" applyFill="1" applyAlignment="1">
      <alignment horizontal="center"/>
    </xf>
    <xf numFmtId="164" fontId="0" fillId="2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2" fillId="27" borderId="0" xfId="0" applyFont="1" applyFill="1"/>
    <xf numFmtId="0" fontId="4" fillId="27" borderId="0" xfId="0" applyFont="1" applyFill="1"/>
    <xf numFmtId="0" fontId="4" fillId="28" borderId="0" xfId="0" applyFont="1" applyFill="1"/>
    <xf numFmtId="0" fontId="2" fillId="28" borderId="0" xfId="0" applyFont="1" applyFill="1"/>
    <xf numFmtId="2" fontId="1" fillId="22" borderId="0" xfId="0" applyNumberFormat="1" applyFont="1" applyFill="1" applyAlignment="1">
      <alignment horizontal="right"/>
    </xf>
    <xf numFmtId="2" fontId="1" fillId="22" borderId="0" xfId="0" applyNumberFormat="1" applyFont="1" applyFill="1" applyAlignment="1">
      <alignment horizontal="center"/>
    </xf>
    <xf numFmtId="0" fontId="1" fillId="29" borderId="0" xfId="0" applyFont="1" applyFill="1"/>
    <xf numFmtId="0" fontId="0" fillId="29" borderId="0" xfId="0" applyFill="1" applyAlignment="1">
      <alignment horizontal="center"/>
    </xf>
    <xf numFmtId="2" fontId="0" fillId="29" borderId="0" xfId="0" applyNumberFormat="1" applyFill="1" applyAlignment="1">
      <alignment horizontal="center"/>
    </xf>
    <xf numFmtId="0" fontId="1" fillId="26" borderId="0" xfId="0" applyFont="1" applyFill="1"/>
    <xf numFmtId="0" fontId="0" fillId="26" borderId="0" xfId="0" applyFill="1" applyAlignment="1">
      <alignment horizontal="center"/>
    </xf>
    <xf numFmtId="2" fontId="0" fillId="26" borderId="0" xfId="0" applyNumberFormat="1" applyFill="1" applyAlignment="1">
      <alignment horizontal="center"/>
    </xf>
    <xf numFmtId="0" fontId="4" fillId="0" borderId="0" xfId="0" applyFont="1" applyAlignment="1">
      <alignment horizontal="left"/>
    </xf>
    <xf numFmtId="0" fontId="4" fillId="31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5" borderId="6" xfId="0" applyFont="1" applyFill="1" applyBorder="1"/>
    <xf numFmtId="0" fontId="1" fillId="5" borderId="0" xfId="0" applyFont="1" applyFill="1"/>
    <xf numFmtId="0" fontId="1" fillId="2" borderId="1" xfId="0" applyFont="1" applyFill="1" applyBorder="1"/>
    <xf numFmtId="0" fontId="4" fillId="30" borderId="1" xfId="0" applyFont="1" applyFill="1" applyBorder="1"/>
    <xf numFmtId="0" fontId="4" fillId="30" borderId="2" xfId="0" applyFont="1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FA"/>
      <color rgb="FFFFA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2B4A-E2FC-7741-BEDA-1C0DEF824D91}">
  <dimension ref="A1:JL76"/>
  <sheetViews>
    <sheetView tabSelected="1" topLeftCell="GR1" zoomScale="75" zoomScaleNormal="56" workbookViewId="0">
      <selection activeCell="HC9" sqref="HC9"/>
    </sheetView>
  </sheetViews>
  <sheetFormatPr baseColWidth="10" defaultRowHeight="16" x14ac:dyDescent="0.2"/>
  <cols>
    <col min="1" max="1" width="14.5" customWidth="1"/>
    <col min="27" max="27" width="12.6640625" bestFit="1" customWidth="1"/>
    <col min="55" max="57" width="11" bestFit="1" customWidth="1"/>
    <col min="58" max="58" width="11" customWidth="1"/>
    <col min="59" max="60" width="11" bestFit="1" customWidth="1"/>
    <col min="61" max="61" width="11" customWidth="1"/>
    <col min="62" max="62" width="11" bestFit="1" customWidth="1"/>
    <col min="63" max="64" width="10.83203125" customWidth="1"/>
    <col min="65" max="65" width="19.5" customWidth="1"/>
    <col min="66" max="66" width="11.1640625" bestFit="1" customWidth="1"/>
    <col min="67" max="67" width="11.1640625" customWidth="1"/>
    <col min="68" max="69" width="11.1640625" bestFit="1" customWidth="1"/>
    <col min="70" max="70" width="11.1640625" customWidth="1"/>
    <col min="71" max="72" width="11.1640625" bestFit="1" customWidth="1"/>
    <col min="73" max="73" width="15.6640625" customWidth="1"/>
    <col min="74" max="74" width="10.83203125" customWidth="1"/>
    <col min="75" max="76" width="11.83203125" customWidth="1"/>
    <col min="77" max="77" width="13.5" bestFit="1" customWidth="1"/>
    <col min="78" max="78" width="11.1640625" bestFit="1" customWidth="1"/>
    <col min="79" max="79" width="11.1640625" customWidth="1"/>
    <col min="80" max="80" width="11.1640625" bestFit="1" customWidth="1"/>
    <col min="81" max="81" width="13.5" bestFit="1" customWidth="1"/>
    <col min="82" max="82" width="13.5" customWidth="1"/>
    <col min="99" max="99" width="12.1640625" bestFit="1" customWidth="1"/>
    <col min="100" max="100" width="12.1640625" customWidth="1"/>
    <col min="110" max="111" width="11" bestFit="1" customWidth="1"/>
    <col min="112" max="112" width="11" customWidth="1"/>
    <col min="113" max="113" width="11" bestFit="1" customWidth="1"/>
    <col min="114" max="114" width="11.1640625" bestFit="1" customWidth="1"/>
    <col min="115" max="115" width="11.1640625" customWidth="1"/>
    <col min="116" max="117" width="11.1640625" bestFit="1" customWidth="1"/>
    <col min="119" max="120" width="11.1640625" bestFit="1" customWidth="1"/>
    <col min="121" max="121" width="11.1640625" customWidth="1"/>
    <col min="122" max="123" width="11.1640625" bestFit="1" customWidth="1"/>
    <col min="124" max="124" width="11.1640625" customWidth="1"/>
    <col min="125" max="126" width="11.1640625" bestFit="1" customWidth="1"/>
    <col min="127" max="127" width="14.1640625" customWidth="1"/>
    <col min="128" max="128" width="12.83203125" bestFit="1" customWidth="1"/>
    <col min="129" max="129" width="11.1640625" bestFit="1" customWidth="1"/>
    <col min="130" max="130" width="11.1640625" customWidth="1"/>
    <col min="131" max="132" width="11.1640625" bestFit="1" customWidth="1"/>
    <col min="133" max="133" width="11.1640625" customWidth="1"/>
    <col min="134" max="134" width="12.83203125" bestFit="1" customWidth="1"/>
    <col min="135" max="135" width="13.6640625" bestFit="1" customWidth="1"/>
    <col min="136" max="136" width="13.6640625" customWidth="1"/>
    <col min="182" max="182" width="13.33203125" bestFit="1" customWidth="1"/>
    <col min="189" max="189" width="13.33203125" bestFit="1" customWidth="1"/>
    <col min="190" max="190" width="13.33203125" customWidth="1"/>
    <col min="234" max="234" width="15.33203125" bestFit="1" customWidth="1"/>
  </cols>
  <sheetData>
    <row r="1" spans="1:270" s="1" customFormat="1" ht="17" thickBot="1" x14ac:dyDescent="0.25">
      <c r="A1" s="30" t="s">
        <v>154</v>
      </c>
      <c r="B1" s="145" t="s">
        <v>21</v>
      </c>
      <c r="C1" s="146" t="s">
        <v>22</v>
      </c>
      <c r="D1" s="145" t="s">
        <v>206</v>
      </c>
      <c r="E1" s="146" t="s">
        <v>23</v>
      </c>
      <c r="F1" s="146" t="s">
        <v>24</v>
      </c>
      <c r="G1" s="146" t="s">
        <v>207</v>
      </c>
      <c r="H1" s="146" t="s">
        <v>25</v>
      </c>
      <c r="I1" s="146" t="s">
        <v>26</v>
      </c>
      <c r="J1" s="30" t="s">
        <v>155</v>
      </c>
      <c r="K1" s="147" t="s">
        <v>27</v>
      </c>
      <c r="L1" s="147" t="s">
        <v>28</v>
      </c>
      <c r="M1" s="147" t="s">
        <v>208</v>
      </c>
      <c r="N1" s="147" t="s">
        <v>29</v>
      </c>
      <c r="O1" s="147" t="s">
        <v>30</v>
      </c>
      <c r="P1" s="146" t="s">
        <v>209</v>
      </c>
      <c r="Q1" s="147" t="s">
        <v>31</v>
      </c>
      <c r="R1" s="147" t="s">
        <v>32</v>
      </c>
      <c r="S1" s="30" t="s">
        <v>156</v>
      </c>
      <c r="T1" s="147" t="s">
        <v>33</v>
      </c>
      <c r="U1" s="147" t="s">
        <v>34</v>
      </c>
      <c r="V1" s="147" t="s">
        <v>210</v>
      </c>
      <c r="W1" s="147" t="s">
        <v>35</v>
      </c>
      <c r="X1" s="147" t="s">
        <v>36</v>
      </c>
      <c r="Y1" s="147" t="s">
        <v>211</v>
      </c>
      <c r="Z1" s="147" t="s">
        <v>37</v>
      </c>
      <c r="AA1" s="147" t="s">
        <v>38</v>
      </c>
      <c r="AB1" s="30" t="s">
        <v>157</v>
      </c>
      <c r="AC1" s="2" t="s">
        <v>39</v>
      </c>
      <c r="AD1" s="2" t="s">
        <v>40</v>
      </c>
      <c r="AE1" s="2" t="s">
        <v>212</v>
      </c>
      <c r="AF1" s="2" t="s">
        <v>41</v>
      </c>
      <c r="AG1" s="2" t="s">
        <v>42</v>
      </c>
      <c r="AH1" s="2" t="s">
        <v>213</v>
      </c>
      <c r="AI1" s="2" t="s">
        <v>43</v>
      </c>
      <c r="AJ1" s="2" t="s">
        <v>44</v>
      </c>
      <c r="AK1" s="30" t="s">
        <v>158</v>
      </c>
      <c r="AL1" s="148" t="s">
        <v>46</v>
      </c>
      <c r="AM1" s="148" t="s">
        <v>47</v>
      </c>
      <c r="AN1" s="148" t="s">
        <v>214</v>
      </c>
      <c r="AO1" s="148" t="s">
        <v>48</v>
      </c>
      <c r="AP1" s="148" t="s">
        <v>49</v>
      </c>
      <c r="AQ1" s="148" t="s">
        <v>215</v>
      </c>
      <c r="AR1" s="148" t="s">
        <v>50</v>
      </c>
      <c r="AS1" s="148" t="s">
        <v>45</v>
      </c>
      <c r="AT1" s="1" t="s">
        <v>159</v>
      </c>
      <c r="AU1" s="148" t="s">
        <v>51</v>
      </c>
      <c r="AV1" s="148" t="s">
        <v>52</v>
      </c>
      <c r="AW1" s="148" t="s">
        <v>216</v>
      </c>
      <c r="AX1" s="148" t="s">
        <v>53</v>
      </c>
      <c r="AY1" s="148" t="s">
        <v>54</v>
      </c>
      <c r="AZ1" s="148" t="s">
        <v>217</v>
      </c>
      <c r="BA1" s="148" t="s">
        <v>55</v>
      </c>
      <c r="BB1" s="148" t="s">
        <v>56</v>
      </c>
      <c r="BC1" s="67" t="s">
        <v>160</v>
      </c>
      <c r="BD1" s="149" t="s">
        <v>57</v>
      </c>
      <c r="BE1" s="149" t="s">
        <v>58</v>
      </c>
      <c r="BF1" s="149" t="s">
        <v>218</v>
      </c>
      <c r="BG1" s="149" t="s">
        <v>59</v>
      </c>
      <c r="BH1" s="149" t="s">
        <v>60</v>
      </c>
      <c r="BI1" s="149" t="s">
        <v>219</v>
      </c>
      <c r="BJ1" s="149" t="s">
        <v>61</v>
      </c>
      <c r="BK1" s="149" t="s">
        <v>62</v>
      </c>
      <c r="BL1" s="67" t="s">
        <v>161</v>
      </c>
      <c r="BM1" s="21" t="s">
        <v>63</v>
      </c>
      <c r="BN1" s="21" t="s">
        <v>64</v>
      </c>
      <c r="BO1" s="21" t="s">
        <v>220</v>
      </c>
      <c r="BP1" s="21" t="s">
        <v>65</v>
      </c>
      <c r="BQ1" s="21" t="s">
        <v>66</v>
      </c>
      <c r="BR1" s="21" t="s">
        <v>221</v>
      </c>
      <c r="BS1" s="21" t="s">
        <v>67</v>
      </c>
      <c r="BT1" s="21" t="s">
        <v>68</v>
      </c>
      <c r="BU1" s="67" t="s">
        <v>162</v>
      </c>
      <c r="BV1" s="20" t="s">
        <v>69</v>
      </c>
      <c r="BW1" s="20" t="s">
        <v>70</v>
      </c>
      <c r="BX1" s="20" t="s">
        <v>222</v>
      </c>
      <c r="BY1" s="20" t="s">
        <v>71</v>
      </c>
      <c r="BZ1" s="20" t="s">
        <v>72</v>
      </c>
      <c r="CA1" s="20" t="s">
        <v>223</v>
      </c>
      <c r="CB1" s="20" t="s">
        <v>73</v>
      </c>
      <c r="CC1" s="20" t="s">
        <v>74</v>
      </c>
      <c r="CD1" s="70" t="s">
        <v>163</v>
      </c>
      <c r="CE1" s="32" t="s">
        <v>76</v>
      </c>
      <c r="CF1" s="32" t="s">
        <v>77</v>
      </c>
      <c r="CG1" s="32" t="s">
        <v>224</v>
      </c>
      <c r="CH1" s="32" t="s">
        <v>141</v>
      </c>
      <c r="CI1" s="32" t="s">
        <v>78</v>
      </c>
      <c r="CJ1" s="32" t="s">
        <v>225</v>
      </c>
      <c r="CK1" s="32" t="s">
        <v>79</v>
      </c>
      <c r="CL1" s="32" t="s">
        <v>136</v>
      </c>
      <c r="CM1" s="70" t="s">
        <v>164</v>
      </c>
      <c r="CN1" s="51" t="s">
        <v>80</v>
      </c>
      <c r="CO1" s="51" t="s">
        <v>81</v>
      </c>
      <c r="CP1" s="51" t="s">
        <v>226</v>
      </c>
      <c r="CQ1" s="51" t="s">
        <v>144</v>
      </c>
      <c r="CR1" s="51" t="s">
        <v>82</v>
      </c>
      <c r="CS1" s="51" t="s">
        <v>227</v>
      </c>
      <c r="CT1" s="51" t="s">
        <v>83</v>
      </c>
      <c r="CU1" s="51" t="s">
        <v>137</v>
      </c>
      <c r="CV1" s="70" t="s">
        <v>165</v>
      </c>
      <c r="CW1" s="32" t="s">
        <v>84</v>
      </c>
      <c r="CX1" s="32" t="s">
        <v>85</v>
      </c>
      <c r="CY1" s="32" t="s">
        <v>228</v>
      </c>
      <c r="CZ1" s="32" t="s">
        <v>145</v>
      </c>
      <c r="DA1" s="32" t="s">
        <v>86</v>
      </c>
      <c r="DB1" s="143" t="s">
        <v>229</v>
      </c>
      <c r="DC1" s="32" t="s">
        <v>87</v>
      </c>
      <c r="DD1" s="32" t="s">
        <v>138</v>
      </c>
      <c r="DE1" s="67" t="s">
        <v>166</v>
      </c>
      <c r="DF1" s="149" t="s">
        <v>254</v>
      </c>
      <c r="DG1" s="149" t="s">
        <v>4</v>
      </c>
      <c r="DH1" s="149" t="s">
        <v>230</v>
      </c>
      <c r="DI1" s="149" t="s">
        <v>5</v>
      </c>
      <c r="DJ1" s="149" t="s">
        <v>6</v>
      </c>
      <c r="DK1" s="150" t="s">
        <v>231</v>
      </c>
      <c r="DL1" s="149" t="s">
        <v>7</v>
      </c>
      <c r="DM1" s="149" t="s">
        <v>8</v>
      </c>
      <c r="DN1" s="67" t="s">
        <v>167</v>
      </c>
      <c r="DO1" s="21" t="s">
        <v>9</v>
      </c>
      <c r="DP1" s="21" t="s">
        <v>10</v>
      </c>
      <c r="DQ1" s="21" t="s">
        <v>232</v>
      </c>
      <c r="DR1" s="21" t="s">
        <v>11</v>
      </c>
      <c r="DS1" s="21" t="s">
        <v>12</v>
      </c>
      <c r="DT1" s="144" t="s">
        <v>233</v>
      </c>
      <c r="DU1" s="21" t="s">
        <v>13</v>
      </c>
      <c r="DV1" s="21" t="s">
        <v>14</v>
      </c>
      <c r="DW1" s="67" t="s">
        <v>177</v>
      </c>
      <c r="DX1" s="20" t="s">
        <v>15</v>
      </c>
      <c r="DY1" s="20" t="s">
        <v>16</v>
      </c>
      <c r="DZ1" s="20" t="s">
        <v>234</v>
      </c>
      <c r="EA1" s="20" t="s">
        <v>17</v>
      </c>
      <c r="EB1" s="20" t="s">
        <v>18</v>
      </c>
      <c r="EC1" s="151" t="s">
        <v>235</v>
      </c>
      <c r="ED1" s="20" t="s">
        <v>19</v>
      </c>
      <c r="EE1" s="20" t="s">
        <v>20</v>
      </c>
      <c r="EF1" s="67" t="s">
        <v>168</v>
      </c>
      <c r="EG1" s="51" t="s">
        <v>88</v>
      </c>
      <c r="EH1" s="51" t="s">
        <v>89</v>
      </c>
      <c r="EI1" s="51" t="s">
        <v>236</v>
      </c>
      <c r="EJ1" s="51" t="s">
        <v>146</v>
      </c>
      <c r="EK1" s="51" t="s">
        <v>90</v>
      </c>
      <c r="EL1" s="152" t="s">
        <v>237</v>
      </c>
      <c r="EM1" s="51" t="s">
        <v>91</v>
      </c>
      <c r="EN1" s="51" t="s">
        <v>143</v>
      </c>
      <c r="EO1" s="67" t="s">
        <v>169</v>
      </c>
      <c r="EP1" s="51" t="s">
        <v>93</v>
      </c>
      <c r="EQ1" s="51" t="s">
        <v>92</v>
      </c>
      <c r="ER1" s="51" t="s">
        <v>238</v>
      </c>
      <c r="ES1" s="51" t="s">
        <v>147</v>
      </c>
      <c r="ET1" s="51" t="s">
        <v>94</v>
      </c>
      <c r="EU1" s="152" t="s">
        <v>239</v>
      </c>
      <c r="EV1" s="51" t="s">
        <v>95</v>
      </c>
      <c r="EW1" s="51" t="s">
        <v>139</v>
      </c>
      <c r="EX1" s="67" t="s">
        <v>170</v>
      </c>
      <c r="EY1" s="51" t="s">
        <v>96</v>
      </c>
      <c r="EZ1" s="51" t="s">
        <v>97</v>
      </c>
      <c r="FA1" s="51" t="s">
        <v>240</v>
      </c>
      <c r="FB1" s="51" t="s">
        <v>142</v>
      </c>
      <c r="FC1" s="51" t="s">
        <v>98</v>
      </c>
      <c r="FD1" s="152" t="s">
        <v>241</v>
      </c>
      <c r="FE1" s="51" t="s">
        <v>99</v>
      </c>
      <c r="FF1" s="51" t="s">
        <v>140</v>
      </c>
      <c r="FG1" s="67" t="s">
        <v>171</v>
      </c>
      <c r="FH1" s="3" t="s">
        <v>255</v>
      </c>
      <c r="FI1" s="3" t="s">
        <v>256</v>
      </c>
      <c r="FJ1" s="3" t="s">
        <v>257</v>
      </c>
      <c r="FK1" s="3" t="s">
        <v>258</v>
      </c>
      <c r="FL1" s="3" t="s">
        <v>259</v>
      </c>
      <c r="FM1" s="3" t="s">
        <v>260</v>
      </c>
      <c r="FN1" s="3" t="s">
        <v>261</v>
      </c>
      <c r="FO1" s="3" t="s">
        <v>262</v>
      </c>
      <c r="FP1" s="67" t="s">
        <v>172</v>
      </c>
      <c r="FQ1" s="3" t="s">
        <v>263</v>
      </c>
      <c r="FR1" s="3" t="s">
        <v>264</v>
      </c>
      <c r="FS1" s="3" t="s">
        <v>265</v>
      </c>
      <c r="FT1" s="3" t="s">
        <v>266</v>
      </c>
      <c r="FU1" s="3" t="s">
        <v>267</v>
      </c>
      <c r="FV1" s="3" t="s">
        <v>268</v>
      </c>
      <c r="FW1" s="3" t="s">
        <v>269</v>
      </c>
      <c r="FX1" s="3" t="s">
        <v>270</v>
      </c>
      <c r="FY1" s="67" t="s">
        <v>173</v>
      </c>
      <c r="FZ1" s="3" t="s">
        <v>271</v>
      </c>
      <c r="GA1" s="3" t="s">
        <v>272</v>
      </c>
      <c r="GB1" s="3" t="s">
        <v>273</v>
      </c>
      <c r="GC1" s="3" t="s">
        <v>274</v>
      </c>
      <c r="GD1" s="3" t="s">
        <v>275</v>
      </c>
      <c r="GE1" s="3" t="s">
        <v>276</v>
      </c>
      <c r="GF1" s="3" t="s">
        <v>277</v>
      </c>
      <c r="GG1" s="3" t="s">
        <v>278</v>
      </c>
      <c r="GH1" s="67" t="s">
        <v>174</v>
      </c>
      <c r="GI1" s="3" t="s">
        <v>279</v>
      </c>
      <c r="GJ1" s="3" t="s">
        <v>280</v>
      </c>
      <c r="GK1" s="3" t="s">
        <v>281</v>
      </c>
      <c r="GL1" s="3" t="s">
        <v>282</v>
      </c>
      <c r="GM1" s="3" t="s">
        <v>283</v>
      </c>
      <c r="GN1" s="3" t="s">
        <v>284</v>
      </c>
      <c r="GO1" s="3" t="s">
        <v>285</v>
      </c>
      <c r="GP1" s="3" t="s">
        <v>286</v>
      </c>
      <c r="GQ1" s="67" t="s">
        <v>175</v>
      </c>
      <c r="GR1" s="3" t="s">
        <v>287</v>
      </c>
      <c r="GS1" s="3" t="s">
        <v>288</v>
      </c>
      <c r="GT1" s="3" t="s">
        <v>289</v>
      </c>
      <c r="GU1" s="3" t="s">
        <v>290</v>
      </c>
      <c r="GV1" s="3" t="s">
        <v>291</v>
      </c>
      <c r="GW1" s="3" t="s">
        <v>292</v>
      </c>
      <c r="GX1" s="3" t="s">
        <v>293</v>
      </c>
      <c r="GY1" s="3" t="s">
        <v>294</v>
      </c>
      <c r="GZ1" s="67" t="s">
        <v>176</v>
      </c>
      <c r="HA1" s="3" t="s">
        <v>295</v>
      </c>
      <c r="HB1" s="3" t="s">
        <v>296</v>
      </c>
      <c r="HC1" s="3" t="s">
        <v>297</v>
      </c>
      <c r="HD1" s="3" t="s">
        <v>298</v>
      </c>
      <c r="HE1" s="3" t="s">
        <v>299</v>
      </c>
      <c r="HF1" s="3" t="s">
        <v>300</v>
      </c>
      <c r="HG1" s="3" t="s">
        <v>301</v>
      </c>
      <c r="HH1" s="3" t="s">
        <v>302</v>
      </c>
      <c r="HI1" s="67" t="s">
        <v>148</v>
      </c>
      <c r="HJ1" s="62" t="s">
        <v>117</v>
      </c>
      <c r="HK1" s="62" t="s">
        <v>100</v>
      </c>
      <c r="HL1" s="62" t="s">
        <v>242</v>
      </c>
      <c r="HM1" s="62" t="s">
        <v>101</v>
      </c>
      <c r="HN1" s="62" t="s">
        <v>102</v>
      </c>
      <c r="HO1" s="62" t="s">
        <v>243</v>
      </c>
      <c r="HP1" s="62" t="s">
        <v>103</v>
      </c>
      <c r="HQ1" s="62" t="s">
        <v>104</v>
      </c>
      <c r="HR1" s="67" t="s">
        <v>149</v>
      </c>
      <c r="HS1" s="62" t="s">
        <v>105</v>
      </c>
      <c r="HT1" s="62" t="s">
        <v>106</v>
      </c>
      <c r="HU1" s="62" t="s">
        <v>244</v>
      </c>
      <c r="HV1" s="62" t="s">
        <v>107</v>
      </c>
      <c r="HW1" s="62" t="s">
        <v>108</v>
      </c>
      <c r="HX1" s="62" t="s">
        <v>245</v>
      </c>
      <c r="HY1" s="62" t="s">
        <v>109</v>
      </c>
      <c r="HZ1" s="62" t="s">
        <v>110</v>
      </c>
      <c r="IA1" s="67" t="s">
        <v>150</v>
      </c>
      <c r="IB1" s="62" t="s">
        <v>111</v>
      </c>
      <c r="IC1" s="62" t="s">
        <v>112</v>
      </c>
      <c r="ID1" s="62" t="s">
        <v>246</v>
      </c>
      <c r="IE1" s="62" t="s">
        <v>113</v>
      </c>
      <c r="IF1" s="62" t="s">
        <v>114</v>
      </c>
      <c r="IG1" s="62" t="s">
        <v>247</v>
      </c>
      <c r="IH1" s="62" t="s">
        <v>115</v>
      </c>
      <c r="II1" s="62" t="s">
        <v>116</v>
      </c>
      <c r="IJ1" s="67" t="s">
        <v>151</v>
      </c>
      <c r="IK1" s="62" t="s">
        <v>118</v>
      </c>
      <c r="IL1" s="62" t="s">
        <v>119</v>
      </c>
      <c r="IM1" s="62" t="s">
        <v>248</v>
      </c>
      <c r="IN1" s="62" t="s">
        <v>120</v>
      </c>
      <c r="IO1" s="62" t="s">
        <v>121</v>
      </c>
      <c r="IP1" s="62" t="s">
        <v>249</v>
      </c>
      <c r="IQ1" s="62" t="s">
        <v>122</v>
      </c>
      <c r="IR1" s="62" t="s">
        <v>123</v>
      </c>
      <c r="IS1" s="67" t="s">
        <v>152</v>
      </c>
      <c r="IT1" s="62" t="s">
        <v>124</v>
      </c>
      <c r="IU1" s="62" t="s">
        <v>125</v>
      </c>
      <c r="IV1" s="62" t="s">
        <v>250</v>
      </c>
      <c r="IW1" s="62" t="s">
        <v>126</v>
      </c>
      <c r="IX1" s="62" t="s">
        <v>127</v>
      </c>
      <c r="IY1" s="62" t="s">
        <v>251</v>
      </c>
      <c r="IZ1" s="62" t="s">
        <v>128</v>
      </c>
      <c r="JA1" s="62" t="s">
        <v>129</v>
      </c>
      <c r="JB1" s="67" t="s">
        <v>153</v>
      </c>
      <c r="JC1" s="62" t="s">
        <v>130</v>
      </c>
      <c r="JD1" s="62" t="s">
        <v>131</v>
      </c>
      <c r="JE1" s="62" t="s">
        <v>252</v>
      </c>
      <c r="JF1" s="62" t="s">
        <v>132</v>
      </c>
      <c r="JG1" s="62" t="s">
        <v>133</v>
      </c>
      <c r="JH1" s="62" t="s">
        <v>253</v>
      </c>
      <c r="JI1" s="62" t="s">
        <v>134</v>
      </c>
      <c r="JJ1" s="62" t="s">
        <v>135</v>
      </c>
    </row>
    <row r="2" spans="1:270" x14ac:dyDescent="0.2">
      <c r="A2" s="1" t="s">
        <v>2</v>
      </c>
      <c r="B2" s="71">
        <v>24</v>
      </c>
      <c r="C2" s="72">
        <v>0</v>
      </c>
      <c r="D2" s="72">
        <f>B2</f>
        <v>24</v>
      </c>
      <c r="E2" s="72">
        <v>4</v>
      </c>
      <c r="F2" s="72">
        <v>0</v>
      </c>
      <c r="G2" s="72">
        <f>D2-E2</f>
        <v>20</v>
      </c>
      <c r="H2" s="72">
        <v>11</v>
      </c>
      <c r="I2" s="27">
        <f>(E2/B2)*100</f>
        <v>16.666666666666664</v>
      </c>
      <c r="J2" s="1" t="s">
        <v>2</v>
      </c>
      <c r="K2" s="10">
        <v>35</v>
      </c>
      <c r="L2" s="10">
        <v>0</v>
      </c>
      <c r="M2" s="10">
        <f>K2</f>
        <v>35</v>
      </c>
      <c r="N2" s="10">
        <v>8</v>
      </c>
      <c r="O2" s="10">
        <v>0</v>
      </c>
      <c r="P2" s="74">
        <f>M2-N2</f>
        <v>27</v>
      </c>
      <c r="Q2" s="74">
        <v>2</v>
      </c>
      <c r="R2" s="28">
        <f>(N2/K2)*100</f>
        <v>22.857142857142858</v>
      </c>
      <c r="S2" s="1" t="s">
        <v>2</v>
      </c>
      <c r="T2" s="10">
        <v>22</v>
      </c>
      <c r="U2" s="10">
        <v>0</v>
      </c>
      <c r="V2" s="10">
        <f>T2</f>
        <v>22</v>
      </c>
      <c r="W2" s="10">
        <v>7</v>
      </c>
      <c r="X2" s="10">
        <v>0</v>
      </c>
      <c r="Y2" s="74">
        <f>V2-W2</f>
        <v>15</v>
      </c>
      <c r="Z2" s="10">
        <v>2</v>
      </c>
      <c r="AA2" s="28">
        <f>(W2/T2)*100</f>
        <v>31.818181818181817</v>
      </c>
      <c r="AB2" s="1" t="s">
        <v>0</v>
      </c>
      <c r="AC2" s="5">
        <v>24</v>
      </c>
      <c r="AD2" s="5">
        <v>10</v>
      </c>
      <c r="AE2" s="76">
        <f>AC2+AD2</f>
        <v>34</v>
      </c>
      <c r="AF2" s="5">
        <v>21</v>
      </c>
      <c r="AG2" s="5">
        <v>0</v>
      </c>
      <c r="AH2" s="76">
        <f>AE2-AF2</f>
        <v>13</v>
      </c>
      <c r="AI2" s="5">
        <v>0</v>
      </c>
      <c r="AJ2" s="13">
        <f>(AF2/(AC2+AD2)*100)</f>
        <v>61.764705882352942</v>
      </c>
      <c r="AK2" s="1" t="s">
        <v>0</v>
      </c>
      <c r="AL2" s="5">
        <v>29</v>
      </c>
      <c r="AM2" s="5">
        <v>2</v>
      </c>
      <c r="AN2" s="5">
        <f>AL2+AM2</f>
        <v>31</v>
      </c>
      <c r="AO2" s="5">
        <v>25</v>
      </c>
      <c r="AP2" s="5">
        <v>0</v>
      </c>
      <c r="AQ2" s="5">
        <f>AN2-AO2</f>
        <v>6</v>
      </c>
      <c r="AR2" s="5">
        <v>0</v>
      </c>
      <c r="AS2" s="9">
        <f>(AO2/(AL2+AM2))*100</f>
        <v>80.645161290322577</v>
      </c>
      <c r="AT2" s="1" t="s">
        <v>0</v>
      </c>
      <c r="AU2" s="5">
        <v>25</v>
      </c>
      <c r="AV2" s="5">
        <v>13</v>
      </c>
      <c r="AW2" s="5">
        <f>AU2+AV2</f>
        <v>38</v>
      </c>
      <c r="AX2" s="5">
        <v>20</v>
      </c>
      <c r="AY2" s="5">
        <v>0</v>
      </c>
      <c r="AZ2" s="5">
        <f>AW2-AX2</f>
        <v>18</v>
      </c>
      <c r="BA2" s="5">
        <v>6</v>
      </c>
      <c r="BB2" s="9">
        <f>(AX2/(AV2+AU2))*100</f>
        <v>52.631578947368418</v>
      </c>
      <c r="BC2" s="1" t="s">
        <v>0</v>
      </c>
      <c r="BD2" s="5">
        <v>35</v>
      </c>
      <c r="BE2" s="5">
        <v>0</v>
      </c>
      <c r="BF2" s="5">
        <f>BD2</f>
        <v>35</v>
      </c>
      <c r="BG2" s="5">
        <v>1</v>
      </c>
      <c r="BH2" s="5">
        <v>0</v>
      </c>
      <c r="BI2" s="5">
        <f>BF2-BG2</f>
        <v>34</v>
      </c>
      <c r="BJ2" s="5">
        <v>0</v>
      </c>
      <c r="BK2" s="9">
        <f>(BG2/BD2)*100</f>
        <v>2.8571428571428572</v>
      </c>
      <c r="BL2" s="1" t="s">
        <v>0</v>
      </c>
      <c r="BM2" s="5">
        <v>47</v>
      </c>
      <c r="BN2" s="5">
        <v>0</v>
      </c>
      <c r="BO2" s="5">
        <f>BM2</f>
        <v>47</v>
      </c>
      <c r="BP2" s="5">
        <v>2</v>
      </c>
      <c r="BQ2" s="5">
        <v>0</v>
      </c>
      <c r="BR2" s="5">
        <f>BO2-BP2</f>
        <v>45</v>
      </c>
      <c r="BS2" s="5">
        <v>1</v>
      </c>
      <c r="BT2" s="18">
        <f>(BP2/BM2)*100</f>
        <v>4.2553191489361701</v>
      </c>
      <c r="BU2" s="1" t="s">
        <v>0</v>
      </c>
      <c r="BV2" s="5">
        <v>25</v>
      </c>
      <c r="BW2" s="5">
        <v>0</v>
      </c>
      <c r="BX2" s="5">
        <f>BV2</f>
        <v>25</v>
      </c>
      <c r="BY2" s="5">
        <v>4</v>
      </c>
      <c r="BZ2" s="5">
        <v>0</v>
      </c>
      <c r="CA2" s="5">
        <f>BX2-BY2</f>
        <v>21</v>
      </c>
      <c r="CB2" s="5">
        <v>1</v>
      </c>
      <c r="CC2" s="9">
        <f>(BY2/BV2)*100</f>
        <v>16</v>
      </c>
      <c r="CD2" s="9" t="s">
        <v>3</v>
      </c>
      <c r="CE2" s="76">
        <v>34</v>
      </c>
      <c r="CF2" s="76">
        <v>5</v>
      </c>
      <c r="CG2" s="76">
        <f>SUM(CE2:CF2)</f>
        <v>39</v>
      </c>
      <c r="CH2" s="76">
        <v>26</v>
      </c>
      <c r="CI2" s="76">
        <v>0</v>
      </c>
      <c r="CJ2" s="76">
        <f>CG2-CH2</f>
        <v>13</v>
      </c>
      <c r="CK2" s="76">
        <v>1</v>
      </c>
      <c r="CL2" s="23">
        <f>(CH2/(CE2+CF2))*100</f>
        <v>66.666666666666657</v>
      </c>
      <c r="CM2" s="9" t="s">
        <v>3</v>
      </c>
      <c r="CN2" s="76">
        <v>55</v>
      </c>
      <c r="CO2" s="76">
        <v>0</v>
      </c>
      <c r="CP2" s="76">
        <f>SUM(CN2:CO2)</f>
        <v>55</v>
      </c>
      <c r="CQ2" s="76">
        <v>53</v>
      </c>
      <c r="CR2" s="76">
        <v>0</v>
      </c>
      <c r="CS2" s="76">
        <f>CP2-CQ2</f>
        <v>2</v>
      </c>
      <c r="CT2" s="76">
        <v>2</v>
      </c>
      <c r="CU2" s="9">
        <f>(CQ2/(CN2+CO2))*100</f>
        <v>96.36363636363636</v>
      </c>
      <c r="CV2" s="9" t="s">
        <v>3</v>
      </c>
      <c r="CW2" s="76">
        <v>49</v>
      </c>
      <c r="CX2" s="76">
        <v>29</v>
      </c>
      <c r="CY2" s="76">
        <f>SUM(CW2:CX2)</f>
        <v>78</v>
      </c>
      <c r="CZ2" s="76">
        <v>28</v>
      </c>
      <c r="DA2" s="76">
        <v>0</v>
      </c>
      <c r="DB2" s="76">
        <f>CY2-CZ2</f>
        <v>50</v>
      </c>
      <c r="DC2" s="76">
        <v>0</v>
      </c>
      <c r="DD2" s="23">
        <f>(CZ2/(CW2+CX2))*100</f>
        <v>35.897435897435898</v>
      </c>
      <c r="DE2" s="69" t="s">
        <v>0</v>
      </c>
      <c r="DF2" s="55">
        <v>22</v>
      </c>
      <c r="DG2" s="55">
        <v>0</v>
      </c>
      <c r="DH2" s="55">
        <f>DF2</f>
        <v>22</v>
      </c>
      <c r="DI2" s="55">
        <v>3</v>
      </c>
      <c r="DJ2" s="55">
        <v>0</v>
      </c>
      <c r="DK2" s="55">
        <f>DH2-DI2</f>
        <v>19</v>
      </c>
      <c r="DL2" s="55">
        <v>7</v>
      </c>
      <c r="DM2" s="36">
        <f>(DI2/DF2)*100</f>
        <v>13.636363636363635</v>
      </c>
      <c r="DN2" s="1" t="s">
        <v>0</v>
      </c>
      <c r="DO2">
        <v>25</v>
      </c>
      <c r="DP2">
        <v>0</v>
      </c>
      <c r="DQ2">
        <f>DO2</f>
        <v>25</v>
      </c>
      <c r="DR2">
        <v>0</v>
      </c>
      <c r="DS2">
        <v>0</v>
      </c>
      <c r="DT2">
        <f>DQ2-DR2</f>
        <v>25</v>
      </c>
      <c r="DU2">
        <v>14</v>
      </c>
      <c r="DV2" s="11">
        <f>(DR2/DO2)*100</f>
        <v>0</v>
      </c>
      <c r="DW2" s="69" t="s">
        <v>0</v>
      </c>
      <c r="DX2" s="55">
        <v>8</v>
      </c>
      <c r="DY2" s="55">
        <v>0</v>
      </c>
      <c r="DZ2" s="55">
        <f>DX2</f>
        <v>8</v>
      </c>
      <c r="EA2" s="55">
        <v>3</v>
      </c>
      <c r="EB2" s="55">
        <v>0</v>
      </c>
      <c r="EC2" s="55">
        <f>DZ2-EA2</f>
        <v>5</v>
      </c>
      <c r="ED2" s="55">
        <v>2</v>
      </c>
      <c r="EE2" s="36">
        <f>(EA2/DX2)*100</f>
        <v>37.5</v>
      </c>
      <c r="EF2" s="69" t="s">
        <v>0</v>
      </c>
      <c r="EG2" s="34">
        <v>11</v>
      </c>
      <c r="EH2" s="34">
        <v>2</v>
      </c>
      <c r="EI2" s="34">
        <f>SUM(EG2:EH2)</f>
        <v>13</v>
      </c>
      <c r="EJ2" s="34">
        <v>5</v>
      </c>
      <c r="EK2" s="34">
        <v>0</v>
      </c>
      <c r="EL2" s="34">
        <f>EI2-EJ2</f>
        <v>8</v>
      </c>
      <c r="EM2" s="34">
        <v>2</v>
      </c>
      <c r="EN2" s="36">
        <f>(EJ2/(EG2+EH2))*100</f>
        <v>38.461538461538467</v>
      </c>
      <c r="EO2" s="69" t="s">
        <v>0</v>
      </c>
      <c r="EP2" s="34">
        <v>18</v>
      </c>
      <c r="EQ2" s="34">
        <v>1</v>
      </c>
      <c r="ER2" s="34">
        <f>SUM(EP2:EQ2)</f>
        <v>19</v>
      </c>
      <c r="ES2" s="34">
        <v>14</v>
      </c>
      <c r="ET2" s="34">
        <v>0</v>
      </c>
      <c r="EU2" s="34">
        <f>ER2-ES2</f>
        <v>5</v>
      </c>
      <c r="EV2" s="34">
        <v>1</v>
      </c>
      <c r="EW2" s="36">
        <f>(ES2/(EP2+EQ2))*100</f>
        <v>73.68421052631578</v>
      </c>
      <c r="EX2" s="69" t="s">
        <v>0</v>
      </c>
      <c r="EY2" s="56">
        <v>20</v>
      </c>
      <c r="EZ2" s="56">
        <v>1</v>
      </c>
      <c r="FA2" s="56">
        <f>SUM(EY2:EZ2)</f>
        <v>21</v>
      </c>
      <c r="FB2" s="34">
        <v>13</v>
      </c>
      <c r="FC2" s="34">
        <v>0</v>
      </c>
      <c r="FD2" s="56">
        <f>FA2-FB2</f>
        <v>8</v>
      </c>
      <c r="FE2" s="34">
        <v>3</v>
      </c>
      <c r="FF2" s="57">
        <f>(FB2/(EY2+EZ2))*100</f>
        <v>61.904761904761905</v>
      </c>
      <c r="FG2" s="69" t="s">
        <v>0</v>
      </c>
      <c r="FH2" s="7">
        <v>35</v>
      </c>
      <c r="FI2" s="7">
        <v>0</v>
      </c>
      <c r="FJ2" s="7">
        <f>FH2+FI2</f>
        <v>35</v>
      </c>
      <c r="FK2" s="7">
        <v>0</v>
      </c>
      <c r="FL2" s="7">
        <v>0</v>
      </c>
      <c r="FM2" s="7">
        <f>FJ2-FK2</f>
        <v>35</v>
      </c>
      <c r="FN2" s="7">
        <v>18</v>
      </c>
      <c r="FO2" s="8">
        <f t="shared" ref="FO2:FO26" si="0">(FK2/FH2)*100</f>
        <v>0</v>
      </c>
      <c r="FP2" s="69" t="s">
        <v>0</v>
      </c>
      <c r="FQ2" s="78">
        <v>47</v>
      </c>
      <c r="FR2" s="39">
        <v>0</v>
      </c>
      <c r="FS2" s="39">
        <f>FQ2+FR2</f>
        <v>47</v>
      </c>
      <c r="FT2" s="78">
        <v>32</v>
      </c>
      <c r="FU2" s="39">
        <v>0</v>
      </c>
      <c r="FV2" s="39">
        <f>FS2-FT2</f>
        <v>15</v>
      </c>
      <c r="FW2" s="78">
        <v>11</v>
      </c>
      <c r="FX2" s="37">
        <f>(FT2/FQ2)*100</f>
        <v>68.085106382978722</v>
      </c>
      <c r="FY2" s="92" t="s">
        <v>180</v>
      </c>
      <c r="FZ2" s="90">
        <v>35</v>
      </c>
      <c r="GA2" s="90">
        <v>0</v>
      </c>
      <c r="GB2" s="90">
        <f>FZ2+GA2</f>
        <v>35</v>
      </c>
      <c r="GC2" s="90">
        <v>7</v>
      </c>
      <c r="GD2" s="90">
        <v>0</v>
      </c>
      <c r="GE2" s="90">
        <f>GB2-GC2</f>
        <v>28</v>
      </c>
      <c r="GF2" s="90">
        <v>15</v>
      </c>
      <c r="GG2" s="91">
        <f t="shared" ref="GG2:GG31" si="1">(GC2/FZ2)*100</f>
        <v>20</v>
      </c>
      <c r="GH2" s="69" t="s">
        <v>0</v>
      </c>
      <c r="GI2" s="39">
        <v>24</v>
      </c>
      <c r="GJ2" s="39">
        <v>15</v>
      </c>
      <c r="GK2" s="39">
        <f>GI2+GJ2</f>
        <v>39</v>
      </c>
      <c r="GL2" s="39">
        <v>21</v>
      </c>
      <c r="GM2" s="39">
        <v>0</v>
      </c>
      <c r="GN2" s="39">
        <f>GK2-GL2</f>
        <v>18</v>
      </c>
      <c r="GO2" s="39">
        <v>6</v>
      </c>
      <c r="GP2" s="37">
        <f>(GL2/(GJ2+GI2))*100</f>
        <v>53.846153846153847</v>
      </c>
      <c r="GQ2" s="69" t="s">
        <v>0</v>
      </c>
      <c r="GR2" s="64">
        <v>60</v>
      </c>
      <c r="GS2" s="64">
        <v>4</v>
      </c>
      <c r="GT2" s="64">
        <f>GR2+GS2</f>
        <v>64</v>
      </c>
      <c r="GU2" s="64">
        <v>60</v>
      </c>
      <c r="GV2" s="64">
        <v>0</v>
      </c>
      <c r="GW2" s="64">
        <f>GT2-GU2</f>
        <v>4</v>
      </c>
      <c r="GX2" s="64">
        <v>8</v>
      </c>
      <c r="GY2" s="66">
        <f>(GU2/(GS2+GR2))*100</f>
        <v>93.75</v>
      </c>
      <c r="GZ2" s="69" t="s">
        <v>0</v>
      </c>
      <c r="HA2" s="64">
        <v>9</v>
      </c>
      <c r="HB2" s="64">
        <v>0</v>
      </c>
      <c r="HC2" s="64">
        <f>HA2+HB2</f>
        <v>9</v>
      </c>
      <c r="HD2" s="64">
        <v>6</v>
      </c>
      <c r="HE2" s="64">
        <v>0</v>
      </c>
      <c r="HF2" s="64">
        <f>HC2-HD2</f>
        <v>3</v>
      </c>
      <c r="HG2" s="64">
        <v>1</v>
      </c>
      <c r="HH2" s="66">
        <f t="shared" ref="HH2:HH24" si="2">(HD2/(HB2+HA2))*100</f>
        <v>66.666666666666657</v>
      </c>
      <c r="HI2" s="3" t="s">
        <v>2</v>
      </c>
      <c r="HJ2" s="3">
        <v>14</v>
      </c>
      <c r="HK2" s="3">
        <v>0</v>
      </c>
      <c r="HL2" s="3">
        <f>HJ2+HK2</f>
        <v>14</v>
      </c>
      <c r="HM2" s="3">
        <v>4</v>
      </c>
      <c r="HN2" s="3">
        <v>0</v>
      </c>
      <c r="HO2" s="3">
        <f>HL2-HM2</f>
        <v>10</v>
      </c>
      <c r="HP2" s="3">
        <v>11</v>
      </c>
      <c r="HQ2" s="6">
        <f t="shared" ref="HQ2:HQ40" si="3">(HM2/HJ2)*100</f>
        <v>28.571428571428569</v>
      </c>
      <c r="HR2" s="3" t="s">
        <v>2</v>
      </c>
      <c r="HS2" s="3">
        <v>32</v>
      </c>
      <c r="HT2" s="3">
        <v>0</v>
      </c>
      <c r="HU2" s="3">
        <f>HS2+HT2</f>
        <v>32</v>
      </c>
      <c r="HV2" s="3">
        <v>19</v>
      </c>
      <c r="HW2" s="3">
        <v>0</v>
      </c>
      <c r="HX2" s="3">
        <f>HU2-HV2</f>
        <v>13</v>
      </c>
      <c r="HY2" s="3">
        <v>9</v>
      </c>
      <c r="HZ2" s="6">
        <f>(HV2/HS2)*100</f>
        <v>59.375</v>
      </c>
      <c r="IA2" s="3" t="s">
        <v>2</v>
      </c>
      <c r="IB2" s="3">
        <v>26</v>
      </c>
      <c r="IC2" s="3">
        <v>0</v>
      </c>
      <c r="ID2" s="3">
        <f>IB2+IC2</f>
        <v>26</v>
      </c>
      <c r="IE2" s="3">
        <v>11</v>
      </c>
      <c r="IF2" s="3">
        <v>0</v>
      </c>
      <c r="IG2" s="3">
        <f>ID2-IE2</f>
        <v>15</v>
      </c>
      <c r="IH2" s="3">
        <v>11</v>
      </c>
      <c r="II2" s="6">
        <f>(IE2/IB2)*100</f>
        <v>42.307692307692307</v>
      </c>
      <c r="IJ2" s="3" t="s">
        <v>2</v>
      </c>
      <c r="IK2" s="3">
        <v>22</v>
      </c>
      <c r="IL2" s="3">
        <v>6</v>
      </c>
      <c r="IM2" s="3">
        <f>IK2+IL2</f>
        <v>28</v>
      </c>
      <c r="IN2" s="3">
        <v>18</v>
      </c>
      <c r="IO2" s="3">
        <v>0</v>
      </c>
      <c r="IP2" s="3">
        <f>IM2-IN2</f>
        <v>10</v>
      </c>
      <c r="IQ2" s="3">
        <v>3</v>
      </c>
      <c r="IR2" s="6">
        <f>(IN2/(IL2+IK2))*100</f>
        <v>64.285714285714292</v>
      </c>
      <c r="IS2" s="3" t="s">
        <v>2</v>
      </c>
      <c r="IT2" s="3">
        <v>40</v>
      </c>
      <c r="IU2" s="3">
        <v>4</v>
      </c>
      <c r="IV2" s="3">
        <f>IT2+IU2</f>
        <v>44</v>
      </c>
      <c r="IW2" s="3">
        <v>24</v>
      </c>
      <c r="IX2" s="3">
        <v>0</v>
      </c>
      <c r="IY2" s="3">
        <f>IV2-IW2</f>
        <v>20</v>
      </c>
      <c r="IZ2" s="3">
        <v>3</v>
      </c>
      <c r="JA2" s="6">
        <f>(IW2/(IU2+IT2))*100</f>
        <v>54.54545454545454</v>
      </c>
      <c r="JB2" s="65" t="s">
        <v>0</v>
      </c>
      <c r="JC2" s="5">
        <v>26</v>
      </c>
      <c r="JD2" s="5">
        <v>0</v>
      </c>
      <c r="JE2" s="5">
        <f>JC2+JD2</f>
        <v>26</v>
      </c>
      <c r="JF2" s="5">
        <v>18</v>
      </c>
      <c r="JG2" s="5">
        <v>0</v>
      </c>
      <c r="JH2" s="5">
        <f>JE2-JF2</f>
        <v>8</v>
      </c>
      <c r="JI2" s="5">
        <v>3</v>
      </c>
      <c r="JJ2" s="23">
        <f>(JF2/(JD2+JC2))*100</f>
        <v>69.230769230769226</v>
      </c>
    </row>
    <row r="3" spans="1:270" x14ac:dyDescent="0.2">
      <c r="A3" s="1" t="s">
        <v>2</v>
      </c>
      <c r="B3" s="71">
        <v>28</v>
      </c>
      <c r="C3" s="72">
        <v>0</v>
      </c>
      <c r="D3" s="72">
        <f t="shared" ref="D3:D59" si="4">B3</f>
        <v>28</v>
      </c>
      <c r="E3" s="72">
        <v>3</v>
      </c>
      <c r="F3" s="72">
        <v>0</v>
      </c>
      <c r="G3" s="72">
        <f t="shared" ref="G3:G59" si="5">D3-E3</f>
        <v>25</v>
      </c>
      <c r="H3" s="72">
        <v>11</v>
      </c>
      <c r="I3" s="27">
        <f t="shared" ref="I3:I18" si="6">(E3/B3)*100</f>
        <v>10.714285714285714</v>
      </c>
      <c r="J3" s="1" t="s">
        <v>2</v>
      </c>
      <c r="K3" s="10">
        <v>38</v>
      </c>
      <c r="L3" s="10">
        <v>0</v>
      </c>
      <c r="M3" s="10">
        <f t="shared" ref="M3:M36" si="7">K3</f>
        <v>38</v>
      </c>
      <c r="N3" s="10">
        <v>10</v>
      </c>
      <c r="O3" s="10">
        <v>0</v>
      </c>
      <c r="P3" s="74">
        <f t="shared" ref="P3:P36" si="8">M3-N3</f>
        <v>28</v>
      </c>
      <c r="Q3" s="74">
        <v>7</v>
      </c>
      <c r="R3" s="28">
        <f t="shared" ref="R3:R14" si="9">(N3/K3)*100</f>
        <v>26.315789473684209</v>
      </c>
      <c r="S3" s="1" t="s">
        <v>2</v>
      </c>
      <c r="T3" s="10">
        <v>32</v>
      </c>
      <c r="U3" s="10">
        <v>0</v>
      </c>
      <c r="V3" s="10">
        <f t="shared" ref="V3:V56" si="10">T3</f>
        <v>32</v>
      </c>
      <c r="W3" s="10">
        <v>7</v>
      </c>
      <c r="X3" s="10">
        <v>0</v>
      </c>
      <c r="Y3" s="74">
        <f t="shared" ref="Y3:Y56" si="11">V3-W3</f>
        <v>25</v>
      </c>
      <c r="Z3" s="10">
        <v>3</v>
      </c>
      <c r="AA3" s="28">
        <f t="shared" ref="AA3:AA16" si="12">(W3/T3)*100</f>
        <v>21.875</v>
      </c>
      <c r="AB3" s="1" t="s">
        <v>0</v>
      </c>
      <c r="AC3" s="5">
        <v>36</v>
      </c>
      <c r="AD3" s="5">
        <v>14</v>
      </c>
      <c r="AE3" s="76">
        <f t="shared" ref="AE3:AE46" si="13">AC3+AD3</f>
        <v>50</v>
      </c>
      <c r="AF3" s="5">
        <v>34</v>
      </c>
      <c r="AG3" s="5">
        <v>0</v>
      </c>
      <c r="AH3" s="76">
        <f t="shared" ref="AH3:AH46" si="14">AE3-AF3</f>
        <v>16</v>
      </c>
      <c r="AI3" s="5">
        <v>0</v>
      </c>
      <c r="AJ3" s="13">
        <f t="shared" ref="AJ3:AJ32" si="15">(AF3/(AC3+AD3)*100)</f>
        <v>68</v>
      </c>
      <c r="AK3" s="1" t="s">
        <v>0</v>
      </c>
      <c r="AL3" s="5">
        <v>23</v>
      </c>
      <c r="AM3" s="5">
        <v>3</v>
      </c>
      <c r="AN3" s="5">
        <f t="shared" ref="AN3:AN36" si="16">AL3+AM3</f>
        <v>26</v>
      </c>
      <c r="AO3" s="5">
        <v>22</v>
      </c>
      <c r="AP3" s="5">
        <v>0</v>
      </c>
      <c r="AQ3" s="5">
        <f t="shared" ref="AQ3:AQ36" si="17">AN3-AO3</f>
        <v>4</v>
      </c>
      <c r="AR3" s="5">
        <v>0</v>
      </c>
      <c r="AS3" s="9">
        <f t="shared" ref="AS3:AS36" si="18">(AO3/(AL3+AM3))*100</f>
        <v>84.615384615384613</v>
      </c>
      <c r="AT3" s="1" t="s">
        <v>0</v>
      </c>
      <c r="AU3" s="5">
        <v>20</v>
      </c>
      <c r="AV3" s="5">
        <v>15</v>
      </c>
      <c r="AW3" s="5">
        <f t="shared" ref="AW3:AW35" si="19">AU3+AV3</f>
        <v>35</v>
      </c>
      <c r="AX3" s="5">
        <v>18</v>
      </c>
      <c r="AY3" s="5">
        <v>0</v>
      </c>
      <c r="AZ3" s="5">
        <f t="shared" ref="AZ3:AZ35" si="20">AW3-AX3</f>
        <v>17</v>
      </c>
      <c r="BA3" s="5">
        <v>3</v>
      </c>
      <c r="BB3" s="9">
        <f t="shared" ref="BB3:BB21" si="21">(AX3/(AV3+AU3))*100</f>
        <v>51.428571428571423</v>
      </c>
      <c r="BC3" s="1" t="s">
        <v>0</v>
      </c>
      <c r="BD3" s="5">
        <v>45</v>
      </c>
      <c r="BE3" s="5">
        <v>0</v>
      </c>
      <c r="BF3" s="5">
        <f t="shared" ref="BF3:BF26" si="22">BD3</f>
        <v>45</v>
      </c>
      <c r="BG3" s="5">
        <v>3</v>
      </c>
      <c r="BH3" s="5">
        <v>0</v>
      </c>
      <c r="BI3" s="5">
        <f t="shared" ref="BI3:BI26" si="23">BF3-BG3</f>
        <v>42</v>
      </c>
      <c r="BJ3" s="5">
        <v>3</v>
      </c>
      <c r="BK3" s="9">
        <f t="shared" ref="BK3:BK26" si="24">(BG3/BD3)*100</f>
        <v>6.666666666666667</v>
      </c>
      <c r="BL3" s="1" t="s">
        <v>0</v>
      </c>
      <c r="BM3" s="5">
        <v>35</v>
      </c>
      <c r="BN3" s="5">
        <v>0</v>
      </c>
      <c r="BO3" s="5">
        <f t="shared" ref="BO3:BO27" si="25">BM3</f>
        <v>35</v>
      </c>
      <c r="BP3" s="5">
        <v>6</v>
      </c>
      <c r="BQ3" s="5">
        <v>0</v>
      </c>
      <c r="BR3" s="5">
        <f t="shared" ref="BR3:BR27" si="26">BO3-BP3</f>
        <v>29</v>
      </c>
      <c r="BS3" s="5">
        <v>1</v>
      </c>
      <c r="BT3" s="18">
        <f t="shared" ref="BT3:BT27" si="27">(BP3/BM3)*100</f>
        <v>17.142857142857142</v>
      </c>
      <c r="BU3" s="1" t="s">
        <v>0</v>
      </c>
      <c r="BV3" s="5">
        <v>30</v>
      </c>
      <c r="BW3" s="5">
        <v>0</v>
      </c>
      <c r="BX3" s="5">
        <f t="shared" ref="BX3:BX31" si="28">BV3</f>
        <v>30</v>
      </c>
      <c r="BY3" s="5">
        <v>5</v>
      </c>
      <c r="BZ3" s="5">
        <v>0</v>
      </c>
      <c r="CA3" s="5">
        <f t="shared" ref="CA3:CA31" si="29">BX3-BY3</f>
        <v>25</v>
      </c>
      <c r="CB3" s="5">
        <v>3</v>
      </c>
      <c r="CC3" s="9">
        <f t="shared" ref="CC3:CC12" si="30">(BY3/BV3)*100</f>
        <v>16.666666666666664</v>
      </c>
      <c r="CD3" s="9" t="s">
        <v>3</v>
      </c>
      <c r="CE3" s="76">
        <v>67</v>
      </c>
      <c r="CF3" s="76">
        <v>16</v>
      </c>
      <c r="CG3" s="76">
        <f t="shared" ref="CG3:CG48" si="31">SUM(CE3:CF3)</f>
        <v>83</v>
      </c>
      <c r="CH3" s="76">
        <v>46</v>
      </c>
      <c r="CI3" s="76">
        <v>0</v>
      </c>
      <c r="CJ3" s="76">
        <f t="shared" ref="CJ3:CJ48" si="32">CG3-CH3</f>
        <v>37</v>
      </c>
      <c r="CK3" s="76">
        <v>0</v>
      </c>
      <c r="CL3" s="23">
        <f t="shared" ref="CL3:CL48" si="33">(CH3/(CE3+CF3))*100</f>
        <v>55.421686746987952</v>
      </c>
      <c r="CM3" s="9" t="s">
        <v>3</v>
      </c>
      <c r="CN3" s="76">
        <v>58</v>
      </c>
      <c r="CO3" s="76">
        <v>11</v>
      </c>
      <c r="CP3" s="76">
        <f t="shared" ref="CP3:CP34" si="34">SUM(CN3:CO3)</f>
        <v>69</v>
      </c>
      <c r="CQ3" s="76">
        <v>55</v>
      </c>
      <c r="CR3" s="76">
        <v>0</v>
      </c>
      <c r="CS3" s="76">
        <f t="shared" ref="CS3:CS34" si="35">CP3-CQ3</f>
        <v>14</v>
      </c>
      <c r="CT3" s="76">
        <v>4</v>
      </c>
      <c r="CU3" s="9">
        <f t="shared" ref="CU3:CU34" si="36">(CQ3/(CN3+CO3))*100</f>
        <v>79.710144927536234</v>
      </c>
      <c r="CV3" s="9" t="s">
        <v>3</v>
      </c>
      <c r="CW3" s="76">
        <v>42</v>
      </c>
      <c r="CX3" s="76">
        <v>32</v>
      </c>
      <c r="CY3" s="76">
        <f t="shared" ref="CY3:CY29" si="37">SUM(CW3:CX3)</f>
        <v>74</v>
      </c>
      <c r="CZ3" s="76">
        <v>29</v>
      </c>
      <c r="DA3" s="76">
        <v>0</v>
      </c>
      <c r="DB3" s="76">
        <f t="shared" ref="DB3:DB30" si="38">CY3-CZ3</f>
        <v>45</v>
      </c>
      <c r="DC3" s="76">
        <v>3</v>
      </c>
      <c r="DD3" s="23">
        <f t="shared" ref="DD3:DD30" si="39">(CZ3/(CW3+CX3))*100</f>
        <v>39.189189189189186</v>
      </c>
      <c r="DE3" s="69" t="s">
        <v>0</v>
      </c>
      <c r="DF3" s="55">
        <v>10</v>
      </c>
      <c r="DG3" s="55">
        <v>0</v>
      </c>
      <c r="DH3" s="55">
        <f t="shared" ref="DH3:DH33" si="40">DF3</f>
        <v>10</v>
      </c>
      <c r="DI3" s="55">
        <v>3</v>
      </c>
      <c r="DJ3" s="55">
        <v>0</v>
      </c>
      <c r="DK3" s="55">
        <f t="shared" ref="DK3:DK33" si="41">DH3-DI3</f>
        <v>7</v>
      </c>
      <c r="DL3" s="55">
        <v>5</v>
      </c>
      <c r="DM3" s="36">
        <f t="shared" ref="DM3:DM33" si="42">(DI3/DF3)*100</f>
        <v>30</v>
      </c>
      <c r="DN3" s="1" t="s">
        <v>0</v>
      </c>
      <c r="DO3">
        <v>20</v>
      </c>
      <c r="DP3">
        <v>0</v>
      </c>
      <c r="DQ3">
        <f t="shared" ref="DQ3:DQ26" si="43">DO3</f>
        <v>20</v>
      </c>
      <c r="DR3">
        <v>0</v>
      </c>
      <c r="DS3">
        <v>0</v>
      </c>
      <c r="DT3">
        <f t="shared" ref="DT3:DT26" si="44">DQ3-DR3</f>
        <v>20</v>
      </c>
      <c r="DU3">
        <v>16</v>
      </c>
      <c r="DV3" s="11">
        <f t="shared" ref="DV3:DV26" si="45">(DR3/DO3)*100</f>
        <v>0</v>
      </c>
      <c r="DW3" s="69" t="s">
        <v>0</v>
      </c>
      <c r="DX3" s="55">
        <v>11</v>
      </c>
      <c r="DY3" s="55">
        <v>0</v>
      </c>
      <c r="DZ3" s="55">
        <f t="shared" ref="DZ3:DZ28" si="46">DX3</f>
        <v>11</v>
      </c>
      <c r="EA3" s="55">
        <v>6</v>
      </c>
      <c r="EB3" s="55">
        <v>0</v>
      </c>
      <c r="EC3" s="55">
        <f t="shared" ref="EC3:EC28" si="47">DZ3-EA3</f>
        <v>5</v>
      </c>
      <c r="ED3" s="55">
        <v>3</v>
      </c>
      <c r="EE3" s="36">
        <f t="shared" ref="EE3:EE15" si="48">(EA3/DX3)*100</f>
        <v>54.54545454545454</v>
      </c>
      <c r="EF3" s="69" t="s">
        <v>0</v>
      </c>
      <c r="EG3" s="34">
        <v>8</v>
      </c>
      <c r="EH3" s="34">
        <v>1</v>
      </c>
      <c r="EI3" s="34">
        <f t="shared" ref="EI3:EI43" si="49">SUM(EG3:EH3)</f>
        <v>9</v>
      </c>
      <c r="EJ3" s="34">
        <v>7</v>
      </c>
      <c r="EK3" s="34">
        <v>0</v>
      </c>
      <c r="EL3" s="34">
        <f t="shared" ref="EL3:EL43" si="50">EI3-EJ3</f>
        <v>2</v>
      </c>
      <c r="EM3" s="34">
        <v>1</v>
      </c>
      <c r="EN3" s="36">
        <f t="shared" ref="EN3:EN11" si="51">(EJ3/(EG3+EH3))*100</f>
        <v>77.777777777777786</v>
      </c>
      <c r="EO3" s="69" t="s">
        <v>0</v>
      </c>
      <c r="EP3" s="34">
        <v>8</v>
      </c>
      <c r="EQ3" s="34">
        <v>2</v>
      </c>
      <c r="ER3" s="34">
        <f t="shared" ref="ER3:ER37" si="52">SUM(EP3:EQ3)</f>
        <v>10</v>
      </c>
      <c r="ES3" s="34">
        <v>6</v>
      </c>
      <c r="ET3" s="34">
        <v>0</v>
      </c>
      <c r="EU3" s="34">
        <f t="shared" ref="EU3:EU37" si="53">ER3-ES3</f>
        <v>4</v>
      </c>
      <c r="EV3" s="34">
        <v>0</v>
      </c>
      <c r="EW3" s="36">
        <f t="shared" ref="EW3:EW11" si="54">(ES3/(EP3+EQ3))*100</f>
        <v>60</v>
      </c>
      <c r="EX3" s="69" t="s">
        <v>0</v>
      </c>
      <c r="EY3" s="56">
        <v>19</v>
      </c>
      <c r="EZ3" s="56">
        <v>6</v>
      </c>
      <c r="FA3" s="56">
        <f t="shared" ref="FA3:FA37" si="55">SUM(EY3:EZ3)</f>
        <v>25</v>
      </c>
      <c r="FB3" s="34">
        <v>15</v>
      </c>
      <c r="FC3" s="34">
        <v>0</v>
      </c>
      <c r="FD3" s="56">
        <f t="shared" ref="FD3:FD37" si="56">FA3-FB3</f>
        <v>10</v>
      </c>
      <c r="FE3" s="34">
        <v>0</v>
      </c>
      <c r="FF3" s="57">
        <f t="shared" ref="FF3:FF11" si="57">(FB3/(EY3+EZ3))*100</f>
        <v>60</v>
      </c>
      <c r="FG3" s="69" t="s">
        <v>0</v>
      </c>
      <c r="FH3" s="7">
        <v>42</v>
      </c>
      <c r="FI3" s="7">
        <v>0</v>
      </c>
      <c r="FJ3" s="7">
        <f t="shared" ref="FJ3:FJ26" si="58">FH3+FI3</f>
        <v>42</v>
      </c>
      <c r="FK3" s="7">
        <v>0</v>
      </c>
      <c r="FL3" s="7">
        <v>0</v>
      </c>
      <c r="FM3" s="7">
        <f t="shared" ref="FM3:FM26" si="59">FJ3-FK3</f>
        <v>42</v>
      </c>
      <c r="FN3" s="7">
        <v>10</v>
      </c>
      <c r="FO3" s="8">
        <f t="shared" si="0"/>
        <v>0</v>
      </c>
      <c r="FP3" s="69" t="s">
        <v>0</v>
      </c>
      <c r="FQ3" s="78">
        <v>55</v>
      </c>
      <c r="FR3" s="39">
        <v>0</v>
      </c>
      <c r="FS3" s="39">
        <f t="shared" ref="FS3:FS21" si="60">FQ3+FR3</f>
        <v>55</v>
      </c>
      <c r="FT3" s="78">
        <v>48</v>
      </c>
      <c r="FU3" s="39">
        <v>0</v>
      </c>
      <c r="FV3" s="39">
        <f t="shared" ref="FV3:FV21" si="61">FS3-FT3</f>
        <v>7</v>
      </c>
      <c r="FW3" s="78">
        <v>20</v>
      </c>
      <c r="FX3" s="37">
        <f t="shared" ref="FX3:FX21" si="62">(FT3/FQ3)*100</f>
        <v>87.272727272727266</v>
      </c>
      <c r="FY3" s="92" t="s">
        <v>180</v>
      </c>
      <c r="FZ3" s="90">
        <v>27</v>
      </c>
      <c r="GA3" s="90">
        <v>0</v>
      </c>
      <c r="GB3" s="90">
        <f t="shared" ref="GB3:GB31" si="63">FZ3+GA3</f>
        <v>27</v>
      </c>
      <c r="GC3" s="90">
        <v>5</v>
      </c>
      <c r="GD3" s="90">
        <v>0</v>
      </c>
      <c r="GE3" s="90">
        <f t="shared" ref="GE3:GE31" si="64">GB3-GC3</f>
        <v>22</v>
      </c>
      <c r="GF3" s="90">
        <v>12</v>
      </c>
      <c r="GG3" s="91">
        <f t="shared" si="1"/>
        <v>18.518518518518519</v>
      </c>
      <c r="GH3" s="69" t="s">
        <v>0</v>
      </c>
      <c r="GI3" s="39">
        <v>7</v>
      </c>
      <c r="GJ3" s="39">
        <v>5</v>
      </c>
      <c r="GK3" s="39">
        <f t="shared" ref="GK3:GK31" si="65">GI3+GJ3</f>
        <v>12</v>
      </c>
      <c r="GL3" s="39">
        <v>5</v>
      </c>
      <c r="GM3" s="39">
        <v>0</v>
      </c>
      <c r="GN3" s="39">
        <f t="shared" ref="GN3:GN31" si="66">GK3-GL3</f>
        <v>7</v>
      </c>
      <c r="GO3" s="39">
        <v>2</v>
      </c>
      <c r="GP3" s="37">
        <f t="shared" ref="GP3:GP31" si="67">(GL3/(GJ3+GI3))*100</f>
        <v>41.666666666666671</v>
      </c>
      <c r="GQ3" s="69" t="s">
        <v>0</v>
      </c>
      <c r="GR3" s="64">
        <v>31</v>
      </c>
      <c r="GS3" s="64">
        <v>3</v>
      </c>
      <c r="GT3" s="64">
        <f t="shared" ref="GT3:GT28" si="68">GR3+GS3</f>
        <v>34</v>
      </c>
      <c r="GU3" s="64">
        <v>31</v>
      </c>
      <c r="GV3" s="64">
        <v>0</v>
      </c>
      <c r="GW3" s="64">
        <f t="shared" ref="GW3:GW28" si="69">GT3-GU3</f>
        <v>3</v>
      </c>
      <c r="GX3" s="64">
        <v>4</v>
      </c>
      <c r="GY3" s="66">
        <f t="shared" ref="GY3:GY28" si="70">(GU3/(GS3+GR3))*100</f>
        <v>91.17647058823529</v>
      </c>
      <c r="GZ3" s="69" t="s">
        <v>0</v>
      </c>
      <c r="HA3" s="64">
        <v>13</v>
      </c>
      <c r="HB3" s="64">
        <v>1</v>
      </c>
      <c r="HC3" s="64">
        <f t="shared" ref="HC3:HC24" si="71">HA3+HB3</f>
        <v>14</v>
      </c>
      <c r="HD3" s="64">
        <v>9</v>
      </c>
      <c r="HE3" s="64">
        <v>0</v>
      </c>
      <c r="HF3" s="64">
        <f t="shared" ref="HF3:HF24" si="72">HC3-HD3</f>
        <v>5</v>
      </c>
      <c r="HG3" s="64">
        <v>1</v>
      </c>
      <c r="HH3" s="66">
        <f t="shared" si="2"/>
        <v>64.285714285714292</v>
      </c>
      <c r="HI3" s="3" t="s">
        <v>2</v>
      </c>
      <c r="HJ3" s="3">
        <v>31</v>
      </c>
      <c r="HK3" s="3">
        <v>0</v>
      </c>
      <c r="HL3" s="3">
        <f t="shared" ref="HL3:HL42" si="73">HJ3+HK3</f>
        <v>31</v>
      </c>
      <c r="HM3" s="3">
        <v>9</v>
      </c>
      <c r="HN3" s="3">
        <v>0</v>
      </c>
      <c r="HO3" s="3">
        <f t="shared" ref="HO3:HO42" si="74">HL3-HM3</f>
        <v>22</v>
      </c>
      <c r="HP3" s="3">
        <v>10</v>
      </c>
      <c r="HQ3" s="6">
        <f t="shared" si="3"/>
        <v>29.032258064516132</v>
      </c>
      <c r="HR3" s="3" t="s">
        <v>2</v>
      </c>
      <c r="HS3" s="3">
        <v>34</v>
      </c>
      <c r="HT3" s="3">
        <v>0</v>
      </c>
      <c r="HU3" s="3">
        <f t="shared" ref="HU3:HU39" si="75">HS3+HT3</f>
        <v>34</v>
      </c>
      <c r="HV3" s="3">
        <v>20</v>
      </c>
      <c r="HW3" s="3">
        <v>0</v>
      </c>
      <c r="HX3" s="3">
        <f t="shared" ref="HX3:HX39" si="76">HU3-HV3</f>
        <v>14</v>
      </c>
      <c r="HY3" s="3">
        <v>24</v>
      </c>
      <c r="HZ3" s="6">
        <f t="shared" ref="HZ3:HZ33" si="77">(HV3/HS3)*100</f>
        <v>58.82352941176471</v>
      </c>
      <c r="IA3" s="3" t="s">
        <v>2</v>
      </c>
      <c r="IB3" s="3">
        <v>24</v>
      </c>
      <c r="IC3" s="3">
        <v>0</v>
      </c>
      <c r="ID3" s="3">
        <f t="shared" ref="ID3:ID33" si="78">IB3+IC3</f>
        <v>24</v>
      </c>
      <c r="IE3" s="3">
        <v>15</v>
      </c>
      <c r="IF3" s="3">
        <v>0</v>
      </c>
      <c r="IG3" s="3">
        <f t="shared" ref="IG3:IG33" si="79">ID3-IE3</f>
        <v>9</v>
      </c>
      <c r="IH3" s="3">
        <v>6</v>
      </c>
      <c r="II3" s="6">
        <f t="shared" ref="II3:II23" si="80">(IE3/IB3)*100</f>
        <v>62.5</v>
      </c>
      <c r="IJ3" s="3" t="s">
        <v>2</v>
      </c>
      <c r="IK3" s="3">
        <v>22</v>
      </c>
      <c r="IL3" s="3">
        <v>3</v>
      </c>
      <c r="IM3" s="3">
        <f t="shared" ref="IM3:IM40" si="81">IK3+IL3</f>
        <v>25</v>
      </c>
      <c r="IN3" s="3">
        <v>16</v>
      </c>
      <c r="IO3" s="3">
        <v>0</v>
      </c>
      <c r="IP3" s="3">
        <f t="shared" ref="IP3:IP40" si="82">IM3-IN3</f>
        <v>9</v>
      </c>
      <c r="IQ3" s="3">
        <v>0</v>
      </c>
      <c r="IR3" s="6">
        <f t="shared" ref="IR3:IR40" si="83">(IN3/(IL3+IK3))*100</f>
        <v>64</v>
      </c>
      <c r="IS3" s="3" t="s">
        <v>2</v>
      </c>
      <c r="IT3" s="3">
        <v>25</v>
      </c>
      <c r="IU3" s="3">
        <v>4</v>
      </c>
      <c r="IV3" s="3">
        <f t="shared" ref="IV3:IV31" si="84">IT3+IU3</f>
        <v>29</v>
      </c>
      <c r="IW3" s="3">
        <v>19</v>
      </c>
      <c r="IX3" s="3">
        <v>0</v>
      </c>
      <c r="IY3" s="3">
        <f t="shared" ref="IY3:IY31" si="85">IV3-IW3</f>
        <v>10</v>
      </c>
      <c r="IZ3" s="3">
        <v>3</v>
      </c>
      <c r="JA3" s="6">
        <f t="shared" ref="JA3:JA31" si="86">(IW3/(IU3+IT3))*100</f>
        <v>65.517241379310349</v>
      </c>
      <c r="JB3" s="65" t="s">
        <v>0</v>
      </c>
      <c r="JC3" s="5">
        <v>20</v>
      </c>
      <c r="JD3" s="5">
        <v>1</v>
      </c>
      <c r="JE3" s="5">
        <f t="shared" ref="JE3:JE31" si="87">JC3+JD3</f>
        <v>21</v>
      </c>
      <c r="JF3" s="5">
        <v>14</v>
      </c>
      <c r="JG3" s="5">
        <v>0</v>
      </c>
      <c r="JH3" s="5">
        <f t="shared" ref="JH3:JH31" si="88">JE3-JF3</f>
        <v>7</v>
      </c>
      <c r="JI3" s="5">
        <v>3</v>
      </c>
      <c r="JJ3" s="23">
        <f t="shared" ref="JJ3:JJ21" si="89">(JF3/(JD3+JC3))*100</f>
        <v>66.666666666666657</v>
      </c>
    </row>
    <row r="4" spans="1:270" x14ac:dyDescent="0.2">
      <c r="A4" s="1" t="s">
        <v>2</v>
      </c>
      <c r="B4" s="71">
        <v>33</v>
      </c>
      <c r="C4" s="72">
        <v>0</v>
      </c>
      <c r="D4" s="72">
        <f t="shared" si="4"/>
        <v>33</v>
      </c>
      <c r="E4" s="72">
        <v>8</v>
      </c>
      <c r="F4" s="72">
        <v>0</v>
      </c>
      <c r="G4" s="72">
        <f t="shared" si="5"/>
        <v>25</v>
      </c>
      <c r="H4" s="72">
        <v>4</v>
      </c>
      <c r="I4" s="27">
        <f t="shared" si="6"/>
        <v>24.242424242424242</v>
      </c>
      <c r="J4" s="1" t="s">
        <v>2</v>
      </c>
      <c r="K4" s="10">
        <v>26</v>
      </c>
      <c r="L4" s="10">
        <v>0</v>
      </c>
      <c r="M4" s="10">
        <f t="shared" si="7"/>
        <v>26</v>
      </c>
      <c r="N4" s="10">
        <v>14</v>
      </c>
      <c r="O4" s="10">
        <v>0</v>
      </c>
      <c r="P4" s="74">
        <f t="shared" si="8"/>
        <v>12</v>
      </c>
      <c r="Q4" s="74">
        <v>5</v>
      </c>
      <c r="R4" s="28">
        <f t="shared" si="9"/>
        <v>53.846153846153847</v>
      </c>
      <c r="S4" s="1" t="s">
        <v>2</v>
      </c>
      <c r="T4" s="10">
        <v>17</v>
      </c>
      <c r="U4" s="10">
        <v>0</v>
      </c>
      <c r="V4" s="10">
        <f t="shared" si="10"/>
        <v>17</v>
      </c>
      <c r="W4" s="10">
        <v>9</v>
      </c>
      <c r="X4" s="10">
        <v>0</v>
      </c>
      <c r="Y4" s="74">
        <f t="shared" si="11"/>
        <v>8</v>
      </c>
      <c r="Z4" s="10">
        <v>4</v>
      </c>
      <c r="AA4" s="28">
        <f t="shared" si="12"/>
        <v>52.941176470588239</v>
      </c>
      <c r="AB4" s="1" t="s">
        <v>0</v>
      </c>
      <c r="AC4" s="5">
        <v>16</v>
      </c>
      <c r="AD4" s="5">
        <v>2</v>
      </c>
      <c r="AE4" s="76">
        <f t="shared" si="13"/>
        <v>18</v>
      </c>
      <c r="AF4" s="5">
        <v>14</v>
      </c>
      <c r="AG4" s="5">
        <v>0</v>
      </c>
      <c r="AH4" s="76">
        <f t="shared" si="14"/>
        <v>4</v>
      </c>
      <c r="AI4" s="5">
        <v>1</v>
      </c>
      <c r="AJ4" s="13">
        <f t="shared" si="15"/>
        <v>77.777777777777786</v>
      </c>
      <c r="AK4" s="1" t="s">
        <v>0</v>
      </c>
      <c r="AL4" s="5">
        <v>27</v>
      </c>
      <c r="AM4" s="5">
        <v>5</v>
      </c>
      <c r="AN4" s="5">
        <f t="shared" si="16"/>
        <v>32</v>
      </c>
      <c r="AO4" s="5">
        <v>24</v>
      </c>
      <c r="AP4" s="5">
        <v>0</v>
      </c>
      <c r="AQ4" s="5">
        <f t="shared" si="17"/>
        <v>8</v>
      </c>
      <c r="AR4" s="5">
        <v>2</v>
      </c>
      <c r="AS4" s="9">
        <f t="shared" si="18"/>
        <v>75</v>
      </c>
      <c r="AT4" s="1" t="s">
        <v>0</v>
      </c>
      <c r="AU4" s="5">
        <v>18</v>
      </c>
      <c r="AV4" s="5">
        <v>3</v>
      </c>
      <c r="AW4" s="5">
        <f t="shared" si="19"/>
        <v>21</v>
      </c>
      <c r="AX4" s="5">
        <v>15</v>
      </c>
      <c r="AY4" s="5">
        <v>0</v>
      </c>
      <c r="AZ4" s="5">
        <f t="shared" si="20"/>
        <v>6</v>
      </c>
      <c r="BA4" s="5">
        <v>1</v>
      </c>
      <c r="BB4" s="9">
        <f t="shared" si="21"/>
        <v>71.428571428571431</v>
      </c>
      <c r="BC4" s="1" t="s">
        <v>0</v>
      </c>
      <c r="BD4" s="5">
        <v>55</v>
      </c>
      <c r="BE4" s="5">
        <v>0</v>
      </c>
      <c r="BF4" s="5">
        <f t="shared" si="22"/>
        <v>55</v>
      </c>
      <c r="BG4" s="5">
        <v>0</v>
      </c>
      <c r="BH4" s="5">
        <v>0</v>
      </c>
      <c r="BI4" s="5">
        <f t="shared" si="23"/>
        <v>55</v>
      </c>
      <c r="BJ4" s="5">
        <v>1</v>
      </c>
      <c r="BK4" s="9">
        <f t="shared" si="24"/>
        <v>0</v>
      </c>
      <c r="BL4" s="1" t="s">
        <v>0</v>
      </c>
      <c r="BM4" s="5">
        <v>32</v>
      </c>
      <c r="BN4" s="5">
        <v>0</v>
      </c>
      <c r="BO4" s="5">
        <f t="shared" si="25"/>
        <v>32</v>
      </c>
      <c r="BP4" s="5">
        <v>1</v>
      </c>
      <c r="BQ4" s="5">
        <v>0</v>
      </c>
      <c r="BR4" s="5">
        <f t="shared" si="26"/>
        <v>31</v>
      </c>
      <c r="BS4" s="5">
        <v>0</v>
      </c>
      <c r="BT4" s="18">
        <f t="shared" si="27"/>
        <v>3.125</v>
      </c>
      <c r="BU4" s="1" t="s">
        <v>0</v>
      </c>
      <c r="BV4" s="5">
        <v>65</v>
      </c>
      <c r="BW4" s="5">
        <v>0</v>
      </c>
      <c r="BX4" s="5">
        <f t="shared" si="28"/>
        <v>65</v>
      </c>
      <c r="BY4" s="5">
        <v>15</v>
      </c>
      <c r="BZ4" s="5">
        <v>0</v>
      </c>
      <c r="CA4" s="5">
        <f t="shared" si="29"/>
        <v>50</v>
      </c>
      <c r="CB4" s="5">
        <v>4</v>
      </c>
      <c r="CC4" s="9">
        <f t="shared" si="30"/>
        <v>23.076923076923077</v>
      </c>
      <c r="CD4" s="9" t="s">
        <v>3</v>
      </c>
      <c r="CE4" s="76">
        <v>28</v>
      </c>
      <c r="CF4" s="76">
        <v>18</v>
      </c>
      <c r="CG4" s="76">
        <f t="shared" si="31"/>
        <v>46</v>
      </c>
      <c r="CH4" s="76">
        <v>19</v>
      </c>
      <c r="CI4" s="76">
        <v>0</v>
      </c>
      <c r="CJ4" s="76">
        <f t="shared" si="32"/>
        <v>27</v>
      </c>
      <c r="CK4" s="76">
        <v>0</v>
      </c>
      <c r="CL4" s="23">
        <f t="shared" si="33"/>
        <v>41.304347826086953</v>
      </c>
      <c r="CM4" s="9" t="s">
        <v>3</v>
      </c>
      <c r="CN4" s="76">
        <v>39</v>
      </c>
      <c r="CO4" s="76">
        <v>2</v>
      </c>
      <c r="CP4" s="76">
        <f t="shared" si="34"/>
        <v>41</v>
      </c>
      <c r="CQ4" s="76">
        <v>37</v>
      </c>
      <c r="CR4" s="76">
        <v>0</v>
      </c>
      <c r="CS4" s="76">
        <f t="shared" si="35"/>
        <v>4</v>
      </c>
      <c r="CT4" s="76">
        <v>2</v>
      </c>
      <c r="CU4" s="9">
        <f t="shared" si="36"/>
        <v>90.243902439024396</v>
      </c>
      <c r="CV4" s="9" t="s">
        <v>3</v>
      </c>
      <c r="CW4" s="76">
        <v>59</v>
      </c>
      <c r="CX4" s="76">
        <v>31</v>
      </c>
      <c r="CY4" s="76">
        <f t="shared" si="37"/>
        <v>90</v>
      </c>
      <c r="CZ4" s="76">
        <v>42</v>
      </c>
      <c r="DA4" s="76">
        <v>0</v>
      </c>
      <c r="DB4" s="76">
        <f t="shared" si="38"/>
        <v>48</v>
      </c>
      <c r="DC4" s="76">
        <v>2</v>
      </c>
      <c r="DD4" s="23">
        <f t="shared" si="39"/>
        <v>46.666666666666664</v>
      </c>
      <c r="DE4" s="69" t="s">
        <v>0</v>
      </c>
      <c r="DF4" s="55">
        <v>21</v>
      </c>
      <c r="DG4" s="55">
        <v>0</v>
      </c>
      <c r="DH4" s="55">
        <f t="shared" si="40"/>
        <v>21</v>
      </c>
      <c r="DI4" s="55">
        <v>1</v>
      </c>
      <c r="DJ4" s="55">
        <v>0</v>
      </c>
      <c r="DK4" s="55">
        <f t="shared" si="41"/>
        <v>20</v>
      </c>
      <c r="DL4" s="55">
        <v>16</v>
      </c>
      <c r="DM4" s="36">
        <f t="shared" si="42"/>
        <v>4.7619047619047619</v>
      </c>
      <c r="DN4" s="1" t="s">
        <v>0</v>
      </c>
      <c r="DO4">
        <v>18</v>
      </c>
      <c r="DP4">
        <v>0</v>
      </c>
      <c r="DQ4">
        <f t="shared" si="43"/>
        <v>18</v>
      </c>
      <c r="DR4">
        <v>0</v>
      </c>
      <c r="DS4">
        <v>0</v>
      </c>
      <c r="DT4">
        <f t="shared" si="44"/>
        <v>18</v>
      </c>
      <c r="DU4">
        <v>15</v>
      </c>
      <c r="DV4" s="11">
        <f t="shared" si="45"/>
        <v>0</v>
      </c>
      <c r="DW4" s="69" t="s">
        <v>0</v>
      </c>
      <c r="DX4" s="55">
        <v>10</v>
      </c>
      <c r="DY4" s="55">
        <v>0</v>
      </c>
      <c r="DZ4" s="55">
        <f t="shared" si="46"/>
        <v>10</v>
      </c>
      <c r="EA4" s="55">
        <v>7</v>
      </c>
      <c r="EB4" s="55">
        <v>0</v>
      </c>
      <c r="EC4" s="55">
        <f t="shared" si="47"/>
        <v>3</v>
      </c>
      <c r="ED4" s="55">
        <v>5</v>
      </c>
      <c r="EE4" s="36">
        <f t="shared" si="48"/>
        <v>70</v>
      </c>
      <c r="EF4" s="69" t="s">
        <v>0</v>
      </c>
      <c r="EG4" s="34">
        <v>13</v>
      </c>
      <c r="EH4" s="34">
        <v>1</v>
      </c>
      <c r="EI4" s="34">
        <f t="shared" si="49"/>
        <v>14</v>
      </c>
      <c r="EJ4" s="34">
        <v>11</v>
      </c>
      <c r="EK4" s="34">
        <v>0</v>
      </c>
      <c r="EL4" s="34">
        <f t="shared" si="50"/>
        <v>3</v>
      </c>
      <c r="EM4" s="34">
        <v>1</v>
      </c>
      <c r="EN4" s="36">
        <f t="shared" si="51"/>
        <v>78.571428571428569</v>
      </c>
      <c r="EO4" s="69" t="s">
        <v>0</v>
      </c>
      <c r="EP4" s="34">
        <v>14</v>
      </c>
      <c r="EQ4" s="34">
        <v>2</v>
      </c>
      <c r="ER4" s="34">
        <f t="shared" si="52"/>
        <v>16</v>
      </c>
      <c r="ES4" s="34">
        <v>12</v>
      </c>
      <c r="ET4" s="34">
        <v>0</v>
      </c>
      <c r="EU4" s="34">
        <f t="shared" si="53"/>
        <v>4</v>
      </c>
      <c r="EV4" s="34">
        <v>0</v>
      </c>
      <c r="EW4" s="36">
        <f t="shared" si="54"/>
        <v>75</v>
      </c>
      <c r="EX4" s="69" t="s">
        <v>0</v>
      </c>
      <c r="EY4" s="56">
        <v>10</v>
      </c>
      <c r="EZ4" s="56">
        <v>8</v>
      </c>
      <c r="FA4" s="56">
        <f t="shared" si="55"/>
        <v>18</v>
      </c>
      <c r="FB4" s="34">
        <v>8</v>
      </c>
      <c r="FC4" s="34">
        <v>0</v>
      </c>
      <c r="FD4" s="56">
        <f t="shared" si="56"/>
        <v>10</v>
      </c>
      <c r="FE4" s="34">
        <v>3</v>
      </c>
      <c r="FF4" s="57">
        <f t="shared" si="57"/>
        <v>44.444444444444443</v>
      </c>
      <c r="FG4" s="69" t="s">
        <v>0</v>
      </c>
      <c r="FH4" s="7">
        <v>45</v>
      </c>
      <c r="FI4" s="7">
        <v>0</v>
      </c>
      <c r="FJ4" s="7">
        <f t="shared" si="58"/>
        <v>45</v>
      </c>
      <c r="FK4" s="7">
        <v>1</v>
      </c>
      <c r="FL4" s="7">
        <v>0</v>
      </c>
      <c r="FM4" s="7">
        <f t="shared" si="59"/>
        <v>44</v>
      </c>
      <c r="FN4" s="7">
        <v>14</v>
      </c>
      <c r="FO4" s="8">
        <f t="shared" si="0"/>
        <v>2.2222222222222223</v>
      </c>
      <c r="FP4" s="69" t="s">
        <v>0</v>
      </c>
      <c r="FQ4" s="78">
        <v>52</v>
      </c>
      <c r="FR4" s="39">
        <v>0</v>
      </c>
      <c r="FS4" s="39">
        <f t="shared" si="60"/>
        <v>52</v>
      </c>
      <c r="FT4" s="78">
        <v>45</v>
      </c>
      <c r="FU4" s="39">
        <v>0</v>
      </c>
      <c r="FV4" s="39">
        <f t="shared" si="61"/>
        <v>7</v>
      </c>
      <c r="FW4" s="78">
        <v>13</v>
      </c>
      <c r="FX4" s="37">
        <f t="shared" si="62"/>
        <v>86.538461538461547</v>
      </c>
      <c r="FY4" s="92" t="s">
        <v>180</v>
      </c>
      <c r="FZ4" s="90">
        <v>39</v>
      </c>
      <c r="GA4" s="90">
        <v>0</v>
      </c>
      <c r="GB4" s="90">
        <f t="shared" si="63"/>
        <v>39</v>
      </c>
      <c r="GC4" s="90">
        <v>5</v>
      </c>
      <c r="GD4" s="90">
        <v>0</v>
      </c>
      <c r="GE4" s="90">
        <f t="shared" si="64"/>
        <v>34</v>
      </c>
      <c r="GF4" s="90">
        <v>21</v>
      </c>
      <c r="GG4" s="91">
        <f t="shared" si="1"/>
        <v>12.820512820512819</v>
      </c>
      <c r="GH4" s="69" t="s">
        <v>0</v>
      </c>
      <c r="GI4" s="39">
        <v>22</v>
      </c>
      <c r="GJ4" s="39">
        <v>10</v>
      </c>
      <c r="GK4" s="39">
        <f t="shared" si="65"/>
        <v>32</v>
      </c>
      <c r="GL4" s="39">
        <v>21</v>
      </c>
      <c r="GM4" s="39">
        <v>0</v>
      </c>
      <c r="GN4" s="39">
        <f t="shared" si="66"/>
        <v>11</v>
      </c>
      <c r="GO4" s="39">
        <v>0</v>
      </c>
      <c r="GP4" s="37">
        <f t="shared" si="67"/>
        <v>65.625</v>
      </c>
      <c r="GQ4" s="69" t="s">
        <v>0</v>
      </c>
      <c r="GR4" s="64">
        <v>61</v>
      </c>
      <c r="GS4" s="64">
        <v>5</v>
      </c>
      <c r="GT4" s="64">
        <f t="shared" si="68"/>
        <v>66</v>
      </c>
      <c r="GU4" s="64">
        <v>59</v>
      </c>
      <c r="GV4" s="64">
        <v>0</v>
      </c>
      <c r="GW4" s="64">
        <f t="shared" si="69"/>
        <v>7</v>
      </c>
      <c r="GX4" s="64">
        <v>5</v>
      </c>
      <c r="GY4" s="66">
        <f t="shared" si="70"/>
        <v>89.393939393939391</v>
      </c>
      <c r="GZ4" s="69" t="s">
        <v>0</v>
      </c>
      <c r="HA4" s="64">
        <v>21</v>
      </c>
      <c r="HB4" s="64">
        <v>1</v>
      </c>
      <c r="HC4" s="64">
        <f t="shared" si="71"/>
        <v>22</v>
      </c>
      <c r="HD4" s="64">
        <v>13</v>
      </c>
      <c r="HE4" s="64">
        <v>0</v>
      </c>
      <c r="HF4" s="64">
        <f t="shared" si="72"/>
        <v>9</v>
      </c>
      <c r="HG4" s="64">
        <v>1</v>
      </c>
      <c r="HH4" s="66">
        <f t="shared" si="2"/>
        <v>59.090909090909093</v>
      </c>
      <c r="HI4" s="3" t="s">
        <v>2</v>
      </c>
      <c r="HJ4" s="3">
        <v>25</v>
      </c>
      <c r="HK4" s="3">
        <v>0</v>
      </c>
      <c r="HL4" s="3">
        <f t="shared" si="73"/>
        <v>25</v>
      </c>
      <c r="HM4" s="3">
        <v>10</v>
      </c>
      <c r="HN4" s="3">
        <v>0</v>
      </c>
      <c r="HO4" s="3">
        <f t="shared" si="74"/>
        <v>15</v>
      </c>
      <c r="HP4" s="3">
        <v>9</v>
      </c>
      <c r="HQ4" s="6">
        <f t="shared" si="3"/>
        <v>40</v>
      </c>
      <c r="HR4" s="3" t="s">
        <v>2</v>
      </c>
      <c r="HS4" s="3">
        <v>36</v>
      </c>
      <c r="HT4" s="3">
        <v>0</v>
      </c>
      <c r="HU4" s="3">
        <f t="shared" si="75"/>
        <v>36</v>
      </c>
      <c r="HV4" s="3">
        <v>17</v>
      </c>
      <c r="HW4" s="3">
        <v>0</v>
      </c>
      <c r="HX4" s="3">
        <f t="shared" si="76"/>
        <v>19</v>
      </c>
      <c r="HY4" s="3">
        <v>12</v>
      </c>
      <c r="HZ4" s="6">
        <f t="shared" si="77"/>
        <v>47.222222222222221</v>
      </c>
      <c r="IA4" s="3" t="s">
        <v>2</v>
      </c>
      <c r="IB4" s="3">
        <v>23</v>
      </c>
      <c r="IC4" s="3">
        <v>0</v>
      </c>
      <c r="ID4" s="3">
        <f t="shared" si="78"/>
        <v>23</v>
      </c>
      <c r="IE4" s="3">
        <v>6</v>
      </c>
      <c r="IF4" s="3">
        <v>0</v>
      </c>
      <c r="IG4" s="3">
        <f t="shared" si="79"/>
        <v>17</v>
      </c>
      <c r="IH4" s="3">
        <v>6</v>
      </c>
      <c r="II4" s="6">
        <f t="shared" si="80"/>
        <v>26.086956521739129</v>
      </c>
      <c r="IJ4" s="3" t="s">
        <v>2</v>
      </c>
      <c r="IK4" s="3">
        <v>31</v>
      </c>
      <c r="IL4" s="3">
        <v>6</v>
      </c>
      <c r="IM4" s="3">
        <f t="shared" si="81"/>
        <v>37</v>
      </c>
      <c r="IN4" s="3">
        <v>27</v>
      </c>
      <c r="IO4" s="3">
        <v>0</v>
      </c>
      <c r="IP4" s="3">
        <f t="shared" si="82"/>
        <v>10</v>
      </c>
      <c r="IQ4" s="3">
        <v>4</v>
      </c>
      <c r="IR4" s="6">
        <f t="shared" si="83"/>
        <v>72.972972972972968</v>
      </c>
      <c r="IS4" s="3" t="s">
        <v>2</v>
      </c>
      <c r="IT4" s="3">
        <v>29</v>
      </c>
      <c r="IU4" s="3">
        <v>4</v>
      </c>
      <c r="IV4" s="3">
        <f t="shared" si="84"/>
        <v>33</v>
      </c>
      <c r="IW4" s="3">
        <v>28</v>
      </c>
      <c r="IX4" s="3">
        <v>0</v>
      </c>
      <c r="IY4" s="3">
        <f t="shared" si="85"/>
        <v>5</v>
      </c>
      <c r="IZ4" s="3">
        <v>2</v>
      </c>
      <c r="JA4" s="6">
        <f t="shared" si="86"/>
        <v>84.848484848484844</v>
      </c>
      <c r="JB4" s="65" t="s">
        <v>0</v>
      </c>
      <c r="JC4" s="5">
        <v>24</v>
      </c>
      <c r="JD4" s="5">
        <v>2</v>
      </c>
      <c r="JE4" s="5">
        <f t="shared" si="87"/>
        <v>26</v>
      </c>
      <c r="JF4" s="5">
        <v>16</v>
      </c>
      <c r="JG4" s="5">
        <v>1</v>
      </c>
      <c r="JH4" s="5">
        <f t="shared" si="88"/>
        <v>10</v>
      </c>
      <c r="JI4" s="5">
        <v>1</v>
      </c>
      <c r="JJ4" s="23">
        <f t="shared" si="89"/>
        <v>61.53846153846154</v>
      </c>
    </row>
    <row r="5" spans="1:270" x14ac:dyDescent="0.2">
      <c r="A5" s="1" t="s">
        <v>2</v>
      </c>
      <c r="B5" s="71">
        <v>19</v>
      </c>
      <c r="C5" s="72">
        <v>0</v>
      </c>
      <c r="D5" s="72">
        <f t="shared" si="4"/>
        <v>19</v>
      </c>
      <c r="E5" s="72">
        <v>6</v>
      </c>
      <c r="F5" s="72">
        <v>0</v>
      </c>
      <c r="G5" s="72">
        <f t="shared" si="5"/>
        <v>13</v>
      </c>
      <c r="H5" s="72">
        <v>6</v>
      </c>
      <c r="I5" s="27">
        <f t="shared" si="6"/>
        <v>31.578947368421051</v>
      </c>
      <c r="J5" s="1" t="s">
        <v>2</v>
      </c>
      <c r="K5" s="10">
        <v>28</v>
      </c>
      <c r="L5" s="10">
        <v>0</v>
      </c>
      <c r="M5" s="10">
        <f t="shared" si="7"/>
        <v>28</v>
      </c>
      <c r="N5" s="10">
        <v>6</v>
      </c>
      <c r="O5" s="10">
        <v>0</v>
      </c>
      <c r="P5" s="74">
        <f t="shared" si="8"/>
        <v>22</v>
      </c>
      <c r="Q5" s="74">
        <v>9</v>
      </c>
      <c r="R5" s="28">
        <f t="shared" si="9"/>
        <v>21.428571428571427</v>
      </c>
      <c r="S5" s="1" t="s">
        <v>2</v>
      </c>
      <c r="T5" s="10">
        <v>27</v>
      </c>
      <c r="U5" s="10">
        <v>0</v>
      </c>
      <c r="V5" s="10">
        <f t="shared" si="10"/>
        <v>27</v>
      </c>
      <c r="W5" s="10">
        <v>16</v>
      </c>
      <c r="X5" s="10">
        <v>0</v>
      </c>
      <c r="Y5" s="74">
        <f t="shared" si="11"/>
        <v>11</v>
      </c>
      <c r="Z5" s="10">
        <v>2</v>
      </c>
      <c r="AA5" s="28">
        <f t="shared" si="12"/>
        <v>59.259259259259252</v>
      </c>
      <c r="AB5" s="1" t="s">
        <v>0</v>
      </c>
      <c r="AC5" s="5">
        <v>25</v>
      </c>
      <c r="AD5" s="5">
        <v>8</v>
      </c>
      <c r="AE5" s="76">
        <f t="shared" si="13"/>
        <v>33</v>
      </c>
      <c r="AF5" s="5">
        <v>20</v>
      </c>
      <c r="AG5" s="5">
        <v>0</v>
      </c>
      <c r="AH5" s="76">
        <f t="shared" si="14"/>
        <v>13</v>
      </c>
      <c r="AI5" s="5">
        <v>2</v>
      </c>
      <c r="AJ5" s="13">
        <f t="shared" si="15"/>
        <v>60.606060606060609</v>
      </c>
      <c r="AK5" s="1" t="s">
        <v>0</v>
      </c>
      <c r="AL5" s="5">
        <v>22</v>
      </c>
      <c r="AM5" s="5">
        <v>10</v>
      </c>
      <c r="AN5" s="5">
        <f t="shared" si="16"/>
        <v>32</v>
      </c>
      <c r="AO5" s="5">
        <v>20</v>
      </c>
      <c r="AP5" s="5">
        <v>0</v>
      </c>
      <c r="AQ5" s="5">
        <f t="shared" si="17"/>
        <v>12</v>
      </c>
      <c r="AR5" s="5">
        <v>1</v>
      </c>
      <c r="AS5" s="9">
        <f t="shared" si="18"/>
        <v>62.5</v>
      </c>
      <c r="AT5" s="1" t="s">
        <v>0</v>
      </c>
      <c r="AU5" s="5">
        <v>18</v>
      </c>
      <c r="AV5" s="5">
        <v>7</v>
      </c>
      <c r="AW5" s="5">
        <f t="shared" si="19"/>
        <v>25</v>
      </c>
      <c r="AX5" s="5">
        <v>16</v>
      </c>
      <c r="AY5" s="5">
        <v>0</v>
      </c>
      <c r="AZ5" s="5">
        <f t="shared" si="20"/>
        <v>9</v>
      </c>
      <c r="BA5" s="5">
        <v>0</v>
      </c>
      <c r="BB5" s="9">
        <f t="shared" si="21"/>
        <v>64</v>
      </c>
      <c r="BC5" s="1" t="s">
        <v>0</v>
      </c>
      <c r="BD5" s="5">
        <v>69</v>
      </c>
      <c r="BE5" s="5">
        <v>0</v>
      </c>
      <c r="BF5" s="5">
        <f t="shared" si="22"/>
        <v>69</v>
      </c>
      <c r="BG5" s="5">
        <v>0</v>
      </c>
      <c r="BH5" s="5">
        <v>0</v>
      </c>
      <c r="BI5" s="5">
        <f t="shared" si="23"/>
        <v>69</v>
      </c>
      <c r="BJ5" s="5">
        <v>4</v>
      </c>
      <c r="BK5" s="9">
        <f t="shared" si="24"/>
        <v>0</v>
      </c>
      <c r="BL5" s="1" t="s">
        <v>0</v>
      </c>
      <c r="BM5" s="5">
        <v>35</v>
      </c>
      <c r="BN5" s="5">
        <v>0</v>
      </c>
      <c r="BO5" s="5">
        <f t="shared" si="25"/>
        <v>35</v>
      </c>
      <c r="BP5" s="5">
        <v>0</v>
      </c>
      <c r="BQ5" s="5">
        <v>0</v>
      </c>
      <c r="BR5" s="5">
        <f t="shared" si="26"/>
        <v>35</v>
      </c>
      <c r="BS5" s="5">
        <v>0</v>
      </c>
      <c r="BT5" s="18">
        <f t="shared" si="27"/>
        <v>0</v>
      </c>
      <c r="BU5" s="1" t="s">
        <v>0</v>
      </c>
      <c r="BV5" s="5">
        <v>26</v>
      </c>
      <c r="BW5" s="5">
        <v>0</v>
      </c>
      <c r="BX5" s="5">
        <f t="shared" si="28"/>
        <v>26</v>
      </c>
      <c r="BY5" s="5">
        <v>3</v>
      </c>
      <c r="BZ5" s="5">
        <v>0</v>
      </c>
      <c r="CA5" s="5">
        <f t="shared" si="29"/>
        <v>23</v>
      </c>
      <c r="CB5" s="5">
        <v>3</v>
      </c>
      <c r="CC5" s="9">
        <f t="shared" si="30"/>
        <v>11.538461538461538</v>
      </c>
      <c r="CD5" s="9" t="s">
        <v>3</v>
      </c>
      <c r="CE5" s="76">
        <v>29</v>
      </c>
      <c r="CF5" s="76">
        <v>7</v>
      </c>
      <c r="CG5" s="76">
        <f t="shared" si="31"/>
        <v>36</v>
      </c>
      <c r="CH5" s="76">
        <v>25</v>
      </c>
      <c r="CI5" s="76">
        <v>0</v>
      </c>
      <c r="CJ5" s="76">
        <f t="shared" si="32"/>
        <v>11</v>
      </c>
      <c r="CK5" s="76">
        <v>0</v>
      </c>
      <c r="CL5" s="23">
        <f t="shared" si="33"/>
        <v>69.444444444444443</v>
      </c>
      <c r="CM5" s="9" t="s">
        <v>3</v>
      </c>
      <c r="CN5" s="76">
        <v>50</v>
      </c>
      <c r="CO5" s="76">
        <v>2</v>
      </c>
      <c r="CP5" s="76">
        <f t="shared" si="34"/>
        <v>52</v>
      </c>
      <c r="CQ5" s="76">
        <v>46</v>
      </c>
      <c r="CR5" s="76">
        <v>0</v>
      </c>
      <c r="CS5" s="76">
        <f t="shared" si="35"/>
        <v>6</v>
      </c>
      <c r="CT5" s="76">
        <v>3</v>
      </c>
      <c r="CU5" s="9">
        <f t="shared" si="36"/>
        <v>88.461538461538453</v>
      </c>
      <c r="CV5" s="9" t="s">
        <v>3</v>
      </c>
      <c r="CW5" s="76">
        <v>56</v>
      </c>
      <c r="CX5" s="76">
        <v>34</v>
      </c>
      <c r="CY5" s="76">
        <f t="shared" si="37"/>
        <v>90</v>
      </c>
      <c r="CZ5" s="76">
        <v>40</v>
      </c>
      <c r="DA5" s="76">
        <v>0</v>
      </c>
      <c r="DB5" s="76">
        <f t="shared" si="38"/>
        <v>50</v>
      </c>
      <c r="DC5" s="76">
        <v>0</v>
      </c>
      <c r="DD5" s="23">
        <f t="shared" si="39"/>
        <v>44.444444444444443</v>
      </c>
      <c r="DE5" s="69" t="s">
        <v>0</v>
      </c>
      <c r="DF5" s="55">
        <v>20</v>
      </c>
      <c r="DG5" s="55">
        <v>0</v>
      </c>
      <c r="DH5" s="55">
        <f t="shared" si="40"/>
        <v>20</v>
      </c>
      <c r="DI5" s="55">
        <v>3</v>
      </c>
      <c r="DJ5" s="55">
        <v>0</v>
      </c>
      <c r="DK5" s="55">
        <f t="shared" si="41"/>
        <v>17</v>
      </c>
      <c r="DL5" s="55">
        <v>11</v>
      </c>
      <c r="DM5" s="36">
        <f t="shared" si="42"/>
        <v>15</v>
      </c>
      <c r="DN5" s="1" t="s">
        <v>0</v>
      </c>
      <c r="DO5">
        <v>20</v>
      </c>
      <c r="DP5">
        <v>0</v>
      </c>
      <c r="DQ5">
        <f t="shared" si="43"/>
        <v>20</v>
      </c>
      <c r="DR5">
        <v>0</v>
      </c>
      <c r="DS5">
        <v>0</v>
      </c>
      <c r="DT5">
        <f t="shared" si="44"/>
        <v>20</v>
      </c>
      <c r="DU5">
        <v>17</v>
      </c>
      <c r="DV5" s="11">
        <f t="shared" si="45"/>
        <v>0</v>
      </c>
      <c r="DW5" s="69" t="s">
        <v>0</v>
      </c>
      <c r="DX5" s="55">
        <v>17</v>
      </c>
      <c r="DY5" s="55">
        <v>0</v>
      </c>
      <c r="DZ5" s="55">
        <f t="shared" si="46"/>
        <v>17</v>
      </c>
      <c r="EA5" s="55">
        <v>13</v>
      </c>
      <c r="EB5" s="55">
        <v>0</v>
      </c>
      <c r="EC5" s="55">
        <f t="shared" si="47"/>
        <v>4</v>
      </c>
      <c r="ED5" s="55">
        <v>1</v>
      </c>
      <c r="EE5" s="36">
        <f t="shared" si="48"/>
        <v>76.470588235294116</v>
      </c>
      <c r="EF5" s="69" t="s">
        <v>0</v>
      </c>
      <c r="EG5" s="34">
        <v>5</v>
      </c>
      <c r="EH5" s="34">
        <v>1</v>
      </c>
      <c r="EI5" s="34">
        <f t="shared" si="49"/>
        <v>6</v>
      </c>
      <c r="EJ5" s="34">
        <v>4</v>
      </c>
      <c r="EK5" s="34">
        <v>0</v>
      </c>
      <c r="EL5" s="34">
        <f t="shared" si="50"/>
        <v>2</v>
      </c>
      <c r="EM5" s="34">
        <v>0</v>
      </c>
      <c r="EN5" s="36">
        <f t="shared" si="51"/>
        <v>66.666666666666657</v>
      </c>
      <c r="EO5" s="69" t="s">
        <v>0</v>
      </c>
      <c r="EP5" s="34">
        <v>7</v>
      </c>
      <c r="EQ5" s="34">
        <v>0</v>
      </c>
      <c r="ER5" s="34">
        <f t="shared" si="52"/>
        <v>7</v>
      </c>
      <c r="ES5" s="34">
        <v>3</v>
      </c>
      <c r="ET5" s="34">
        <v>0</v>
      </c>
      <c r="EU5" s="34">
        <f t="shared" si="53"/>
        <v>4</v>
      </c>
      <c r="EV5" s="34">
        <v>0</v>
      </c>
      <c r="EW5" s="36">
        <f t="shared" si="54"/>
        <v>42.857142857142854</v>
      </c>
      <c r="EX5" s="69" t="s">
        <v>0</v>
      </c>
      <c r="EY5" s="56">
        <v>11</v>
      </c>
      <c r="EZ5" s="56">
        <v>2</v>
      </c>
      <c r="FA5" s="56">
        <f t="shared" si="55"/>
        <v>13</v>
      </c>
      <c r="FB5" s="34">
        <v>10</v>
      </c>
      <c r="FC5" s="34">
        <v>0</v>
      </c>
      <c r="FD5" s="56">
        <f t="shared" si="56"/>
        <v>3</v>
      </c>
      <c r="FE5" s="34">
        <v>0</v>
      </c>
      <c r="FF5" s="57">
        <f t="shared" si="57"/>
        <v>76.923076923076934</v>
      </c>
      <c r="FG5" s="69" t="s">
        <v>0</v>
      </c>
      <c r="FH5" s="7">
        <v>38</v>
      </c>
      <c r="FI5" s="7">
        <v>0</v>
      </c>
      <c r="FJ5" s="7">
        <f t="shared" si="58"/>
        <v>38</v>
      </c>
      <c r="FK5" s="7">
        <v>1</v>
      </c>
      <c r="FL5" s="7">
        <v>0</v>
      </c>
      <c r="FM5" s="7">
        <f t="shared" si="59"/>
        <v>37</v>
      </c>
      <c r="FN5" s="7">
        <v>11</v>
      </c>
      <c r="FO5" s="8">
        <f t="shared" si="0"/>
        <v>2.6315789473684208</v>
      </c>
      <c r="FP5" s="69" t="s">
        <v>0</v>
      </c>
      <c r="FQ5" s="78">
        <v>71</v>
      </c>
      <c r="FR5" s="39">
        <v>0</v>
      </c>
      <c r="FS5" s="39">
        <f t="shared" si="60"/>
        <v>71</v>
      </c>
      <c r="FT5" s="78">
        <v>50</v>
      </c>
      <c r="FU5" s="39">
        <v>0</v>
      </c>
      <c r="FV5" s="39">
        <f t="shared" si="61"/>
        <v>21</v>
      </c>
      <c r="FW5" s="78">
        <v>18</v>
      </c>
      <c r="FX5" s="37">
        <f t="shared" si="62"/>
        <v>70.422535211267601</v>
      </c>
      <c r="FY5" s="92" t="s">
        <v>180</v>
      </c>
      <c r="FZ5" s="90">
        <v>43</v>
      </c>
      <c r="GA5" s="90">
        <v>0</v>
      </c>
      <c r="GB5" s="90">
        <f t="shared" si="63"/>
        <v>43</v>
      </c>
      <c r="GC5" s="90">
        <v>4</v>
      </c>
      <c r="GD5" s="90">
        <v>0</v>
      </c>
      <c r="GE5" s="90">
        <f t="shared" si="64"/>
        <v>39</v>
      </c>
      <c r="GF5" s="90">
        <v>24</v>
      </c>
      <c r="GG5" s="91">
        <f t="shared" si="1"/>
        <v>9.3023255813953494</v>
      </c>
      <c r="GH5" s="69" t="s">
        <v>0</v>
      </c>
      <c r="GI5" s="39">
        <v>31</v>
      </c>
      <c r="GJ5" s="39">
        <v>20</v>
      </c>
      <c r="GK5" s="39">
        <f t="shared" si="65"/>
        <v>51</v>
      </c>
      <c r="GL5" s="39">
        <v>22</v>
      </c>
      <c r="GM5" s="39">
        <v>0</v>
      </c>
      <c r="GN5" s="39">
        <f t="shared" si="66"/>
        <v>29</v>
      </c>
      <c r="GO5" s="39">
        <v>3</v>
      </c>
      <c r="GP5" s="37">
        <f t="shared" si="67"/>
        <v>43.137254901960787</v>
      </c>
      <c r="GQ5" s="69" t="s">
        <v>0</v>
      </c>
      <c r="GR5" s="64">
        <v>65</v>
      </c>
      <c r="GS5" s="64">
        <v>5</v>
      </c>
      <c r="GT5" s="64">
        <f t="shared" si="68"/>
        <v>70</v>
      </c>
      <c r="GU5" s="64">
        <v>63</v>
      </c>
      <c r="GV5" s="64">
        <v>0</v>
      </c>
      <c r="GW5" s="64">
        <f t="shared" si="69"/>
        <v>7</v>
      </c>
      <c r="GX5" s="64">
        <v>2</v>
      </c>
      <c r="GY5" s="66">
        <f t="shared" si="70"/>
        <v>90</v>
      </c>
      <c r="GZ5" s="69" t="s">
        <v>0</v>
      </c>
      <c r="HA5" s="64">
        <v>15</v>
      </c>
      <c r="HB5" s="64">
        <v>1</v>
      </c>
      <c r="HC5" s="64">
        <f t="shared" si="71"/>
        <v>16</v>
      </c>
      <c r="HD5" s="64">
        <v>5</v>
      </c>
      <c r="HE5" s="64">
        <v>0</v>
      </c>
      <c r="HF5" s="64">
        <f t="shared" si="72"/>
        <v>11</v>
      </c>
      <c r="HG5" s="64">
        <v>2</v>
      </c>
      <c r="HH5" s="66">
        <f t="shared" si="2"/>
        <v>31.25</v>
      </c>
      <c r="HI5" s="3" t="s">
        <v>2</v>
      </c>
      <c r="HJ5" s="3">
        <v>25</v>
      </c>
      <c r="HK5" s="3">
        <v>0</v>
      </c>
      <c r="HL5" s="3">
        <f t="shared" si="73"/>
        <v>25</v>
      </c>
      <c r="HM5" s="3">
        <v>11</v>
      </c>
      <c r="HN5" s="3">
        <v>0</v>
      </c>
      <c r="HO5" s="3">
        <f t="shared" si="74"/>
        <v>14</v>
      </c>
      <c r="HP5" s="3">
        <v>5</v>
      </c>
      <c r="HQ5" s="6">
        <f t="shared" si="3"/>
        <v>44</v>
      </c>
      <c r="HR5" s="3" t="s">
        <v>2</v>
      </c>
      <c r="HS5" s="3">
        <v>34</v>
      </c>
      <c r="HT5" s="3">
        <v>0</v>
      </c>
      <c r="HU5" s="3">
        <f t="shared" si="75"/>
        <v>34</v>
      </c>
      <c r="HV5" s="3">
        <v>14</v>
      </c>
      <c r="HW5" s="3">
        <v>0</v>
      </c>
      <c r="HX5" s="3">
        <f t="shared" si="76"/>
        <v>20</v>
      </c>
      <c r="HY5" s="3">
        <v>14</v>
      </c>
      <c r="HZ5" s="6">
        <f t="shared" si="77"/>
        <v>41.17647058823529</v>
      </c>
      <c r="IA5" s="3" t="s">
        <v>2</v>
      </c>
      <c r="IB5" s="3">
        <v>24</v>
      </c>
      <c r="IC5" s="3">
        <v>0</v>
      </c>
      <c r="ID5" s="3">
        <f t="shared" si="78"/>
        <v>24</v>
      </c>
      <c r="IE5" s="3">
        <v>11</v>
      </c>
      <c r="IF5" s="3">
        <v>0</v>
      </c>
      <c r="IG5" s="3">
        <f t="shared" si="79"/>
        <v>13</v>
      </c>
      <c r="IH5" s="3">
        <v>5</v>
      </c>
      <c r="II5" s="6">
        <f t="shared" si="80"/>
        <v>45.833333333333329</v>
      </c>
      <c r="IJ5" s="3" t="s">
        <v>2</v>
      </c>
      <c r="IK5" s="3">
        <v>15</v>
      </c>
      <c r="IL5" s="3">
        <v>1</v>
      </c>
      <c r="IM5" s="3">
        <f t="shared" si="81"/>
        <v>16</v>
      </c>
      <c r="IN5" s="3">
        <v>12</v>
      </c>
      <c r="IO5" s="3">
        <v>0</v>
      </c>
      <c r="IP5" s="3">
        <f t="shared" si="82"/>
        <v>4</v>
      </c>
      <c r="IQ5" s="3">
        <v>2</v>
      </c>
      <c r="IR5" s="6">
        <f t="shared" si="83"/>
        <v>75</v>
      </c>
      <c r="IS5" s="3" t="s">
        <v>2</v>
      </c>
      <c r="IT5" s="3">
        <v>32</v>
      </c>
      <c r="IU5" s="3">
        <v>2</v>
      </c>
      <c r="IV5" s="3">
        <f t="shared" si="84"/>
        <v>34</v>
      </c>
      <c r="IW5" s="3">
        <v>21</v>
      </c>
      <c r="IX5" s="3">
        <v>0</v>
      </c>
      <c r="IY5" s="3">
        <f t="shared" si="85"/>
        <v>13</v>
      </c>
      <c r="IZ5" s="3">
        <v>3</v>
      </c>
      <c r="JA5" s="6">
        <f t="shared" si="86"/>
        <v>61.764705882352942</v>
      </c>
      <c r="JB5" s="65" t="s">
        <v>0</v>
      </c>
      <c r="JC5" s="5">
        <v>16</v>
      </c>
      <c r="JD5" s="5">
        <v>2</v>
      </c>
      <c r="JE5" s="5">
        <f t="shared" si="87"/>
        <v>18</v>
      </c>
      <c r="JF5" s="5">
        <v>9</v>
      </c>
      <c r="JG5" s="5">
        <v>0</v>
      </c>
      <c r="JH5" s="5">
        <f t="shared" si="88"/>
        <v>9</v>
      </c>
      <c r="JI5" s="5">
        <v>3</v>
      </c>
      <c r="JJ5" s="23">
        <f t="shared" si="89"/>
        <v>50</v>
      </c>
    </row>
    <row r="6" spans="1:270" x14ac:dyDescent="0.2">
      <c r="A6" s="1" t="s">
        <v>2</v>
      </c>
      <c r="B6" s="71">
        <v>31</v>
      </c>
      <c r="C6" s="72">
        <v>0</v>
      </c>
      <c r="D6" s="72">
        <f t="shared" si="4"/>
        <v>31</v>
      </c>
      <c r="E6" s="72">
        <v>12</v>
      </c>
      <c r="F6" s="72">
        <v>0</v>
      </c>
      <c r="G6" s="72">
        <f t="shared" si="5"/>
        <v>19</v>
      </c>
      <c r="H6" s="72">
        <v>7</v>
      </c>
      <c r="I6" s="27">
        <f t="shared" si="6"/>
        <v>38.70967741935484</v>
      </c>
      <c r="J6" s="1" t="s">
        <v>2</v>
      </c>
      <c r="K6" s="10">
        <v>47</v>
      </c>
      <c r="L6" s="10">
        <v>0</v>
      </c>
      <c r="M6" s="10">
        <f t="shared" si="7"/>
        <v>47</v>
      </c>
      <c r="N6" s="10">
        <v>24</v>
      </c>
      <c r="O6" s="10">
        <v>0</v>
      </c>
      <c r="P6" s="74">
        <f t="shared" si="8"/>
        <v>23</v>
      </c>
      <c r="Q6" s="74">
        <v>4</v>
      </c>
      <c r="R6" s="28">
        <f t="shared" si="9"/>
        <v>51.063829787234042</v>
      </c>
      <c r="S6" s="1" t="s">
        <v>2</v>
      </c>
      <c r="T6" s="10">
        <v>31</v>
      </c>
      <c r="U6" s="10">
        <v>0</v>
      </c>
      <c r="V6" s="10">
        <f t="shared" si="10"/>
        <v>31</v>
      </c>
      <c r="W6" s="10">
        <v>13</v>
      </c>
      <c r="X6" s="10">
        <v>0</v>
      </c>
      <c r="Y6" s="74">
        <f t="shared" si="11"/>
        <v>18</v>
      </c>
      <c r="Z6" s="10">
        <v>6</v>
      </c>
      <c r="AA6" s="28">
        <f t="shared" si="12"/>
        <v>41.935483870967744</v>
      </c>
      <c r="AB6" s="1" t="s">
        <v>0</v>
      </c>
      <c r="AC6" s="5">
        <v>32</v>
      </c>
      <c r="AD6" s="5">
        <v>14</v>
      </c>
      <c r="AE6" s="76">
        <f t="shared" si="13"/>
        <v>46</v>
      </c>
      <c r="AF6" s="5">
        <v>23</v>
      </c>
      <c r="AG6" s="5">
        <v>0</v>
      </c>
      <c r="AH6" s="76">
        <f t="shared" si="14"/>
        <v>23</v>
      </c>
      <c r="AI6" s="5">
        <v>0</v>
      </c>
      <c r="AJ6" s="13">
        <f t="shared" si="15"/>
        <v>50</v>
      </c>
      <c r="AK6" s="1" t="s">
        <v>0</v>
      </c>
      <c r="AL6" s="5">
        <v>23</v>
      </c>
      <c r="AM6" s="5">
        <v>8</v>
      </c>
      <c r="AN6" s="5">
        <f t="shared" si="16"/>
        <v>31</v>
      </c>
      <c r="AO6" s="5">
        <v>18</v>
      </c>
      <c r="AP6" s="5">
        <v>0</v>
      </c>
      <c r="AQ6" s="5">
        <f t="shared" si="17"/>
        <v>13</v>
      </c>
      <c r="AR6" s="5">
        <v>2</v>
      </c>
      <c r="AS6" s="9">
        <f t="shared" si="18"/>
        <v>58.064516129032263</v>
      </c>
      <c r="AT6" s="1" t="s">
        <v>0</v>
      </c>
      <c r="AU6" s="5">
        <v>29</v>
      </c>
      <c r="AV6" s="5">
        <v>7</v>
      </c>
      <c r="AW6" s="5">
        <f t="shared" si="19"/>
        <v>36</v>
      </c>
      <c r="AX6" s="5">
        <v>22</v>
      </c>
      <c r="AY6" s="5">
        <v>0</v>
      </c>
      <c r="AZ6" s="5">
        <f t="shared" si="20"/>
        <v>14</v>
      </c>
      <c r="BA6" s="5">
        <v>0</v>
      </c>
      <c r="BB6" s="9">
        <f t="shared" si="21"/>
        <v>61.111111111111114</v>
      </c>
      <c r="BC6" s="1" t="s">
        <v>0</v>
      </c>
      <c r="BD6" s="5">
        <v>57</v>
      </c>
      <c r="BE6" s="5">
        <v>0</v>
      </c>
      <c r="BF6" s="5">
        <f t="shared" si="22"/>
        <v>57</v>
      </c>
      <c r="BG6" s="5">
        <v>2</v>
      </c>
      <c r="BH6" s="5">
        <v>0</v>
      </c>
      <c r="BI6" s="5">
        <f t="shared" si="23"/>
        <v>55</v>
      </c>
      <c r="BJ6" s="5">
        <v>1</v>
      </c>
      <c r="BK6" s="9">
        <f t="shared" si="24"/>
        <v>3.5087719298245612</v>
      </c>
      <c r="BL6" s="1" t="s">
        <v>0</v>
      </c>
      <c r="BM6" s="5">
        <v>35</v>
      </c>
      <c r="BN6" s="5">
        <v>0</v>
      </c>
      <c r="BO6" s="5">
        <f t="shared" si="25"/>
        <v>35</v>
      </c>
      <c r="BP6" s="5">
        <v>1</v>
      </c>
      <c r="BQ6" s="5">
        <v>0</v>
      </c>
      <c r="BR6" s="5">
        <f t="shared" si="26"/>
        <v>34</v>
      </c>
      <c r="BS6" s="5">
        <v>0</v>
      </c>
      <c r="BT6" s="18">
        <f t="shared" si="27"/>
        <v>2.8571428571428572</v>
      </c>
      <c r="BU6" s="1" t="s">
        <v>0</v>
      </c>
      <c r="BV6" s="5">
        <v>37</v>
      </c>
      <c r="BW6" s="5">
        <v>0</v>
      </c>
      <c r="BX6" s="5">
        <f t="shared" si="28"/>
        <v>37</v>
      </c>
      <c r="BY6" s="5">
        <v>9</v>
      </c>
      <c r="BZ6" s="5">
        <v>0</v>
      </c>
      <c r="CA6" s="5">
        <f t="shared" si="29"/>
        <v>28</v>
      </c>
      <c r="CB6" s="5">
        <v>3</v>
      </c>
      <c r="CC6" s="9">
        <f t="shared" si="30"/>
        <v>24.324324324324326</v>
      </c>
      <c r="CD6" s="9" t="s">
        <v>3</v>
      </c>
      <c r="CE6" s="76">
        <v>49</v>
      </c>
      <c r="CF6" s="76">
        <v>15</v>
      </c>
      <c r="CG6" s="76">
        <f t="shared" si="31"/>
        <v>64</v>
      </c>
      <c r="CH6" s="76">
        <v>36</v>
      </c>
      <c r="CI6" s="76">
        <v>0</v>
      </c>
      <c r="CJ6" s="76">
        <f t="shared" si="32"/>
        <v>28</v>
      </c>
      <c r="CK6" s="76">
        <v>1</v>
      </c>
      <c r="CL6" s="23">
        <f t="shared" si="33"/>
        <v>56.25</v>
      </c>
      <c r="CM6" s="9" t="s">
        <v>3</v>
      </c>
      <c r="CN6" s="76">
        <v>49</v>
      </c>
      <c r="CO6" s="76">
        <v>3</v>
      </c>
      <c r="CP6" s="76">
        <f t="shared" si="34"/>
        <v>52</v>
      </c>
      <c r="CQ6" s="76">
        <v>44</v>
      </c>
      <c r="CR6" s="76">
        <v>0</v>
      </c>
      <c r="CS6" s="76">
        <f t="shared" si="35"/>
        <v>8</v>
      </c>
      <c r="CT6" s="76">
        <v>1</v>
      </c>
      <c r="CU6" s="9">
        <f t="shared" si="36"/>
        <v>84.615384615384613</v>
      </c>
      <c r="CV6" s="9" t="s">
        <v>3</v>
      </c>
      <c r="CW6" s="76">
        <v>41</v>
      </c>
      <c r="CX6" s="76">
        <v>27</v>
      </c>
      <c r="CY6" s="76">
        <f t="shared" si="37"/>
        <v>68</v>
      </c>
      <c r="CZ6" s="76">
        <v>17</v>
      </c>
      <c r="DA6" s="76">
        <v>0</v>
      </c>
      <c r="DB6" s="76">
        <f t="shared" si="38"/>
        <v>51</v>
      </c>
      <c r="DC6" s="76">
        <v>1</v>
      </c>
      <c r="DD6" s="23">
        <f t="shared" si="39"/>
        <v>25</v>
      </c>
      <c r="DE6" s="69" t="s">
        <v>0</v>
      </c>
      <c r="DF6" s="55">
        <v>26</v>
      </c>
      <c r="DG6" s="55">
        <v>0</v>
      </c>
      <c r="DH6" s="55">
        <f t="shared" si="40"/>
        <v>26</v>
      </c>
      <c r="DI6" s="55">
        <v>5</v>
      </c>
      <c r="DJ6" s="55">
        <v>0</v>
      </c>
      <c r="DK6" s="55">
        <f t="shared" si="41"/>
        <v>21</v>
      </c>
      <c r="DL6" s="55">
        <v>16</v>
      </c>
      <c r="DM6" s="36">
        <f t="shared" si="42"/>
        <v>19.230769230769234</v>
      </c>
      <c r="DN6" s="1" t="s">
        <v>0</v>
      </c>
      <c r="DO6">
        <v>24</v>
      </c>
      <c r="DP6">
        <v>0</v>
      </c>
      <c r="DQ6">
        <f t="shared" si="43"/>
        <v>24</v>
      </c>
      <c r="DR6">
        <v>3</v>
      </c>
      <c r="DS6">
        <v>0</v>
      </c>
      <c r="DT6">
        <f t="shared" si="44"/>
        <v>21</v>
      </c>
      <c r="DU6">
        <v>17</v>
      </c>
      <c r="DV6" s="11">
        <f t="shared" si="45"/>
        <v>12.5</v>
      </c>
      <c r="DW6" s="69" t="s">
        <v>0</v>
      </c>
      <c r="DX6" s="55">
        <v>9</v>
      </c>
      <c r="DY6" s="55">
        <v>0</v>
      </c>
      <c r="DZ6" s="55">
        <f t="shared" si="46"/>
        <v>9</v>
      </c>
      <c r="EA6" s="55">
        <v>2</v>
      </c>
      <c r="EB6" s="55">
        <v>0</v>
      </c>
      <c r="EC6" s="55">
        <f t="shared" si="47"/>
        <v>7</v>
      </c>
      <c r="ED6" s="55">
        <v>2</v>
      </c>
      <c r="EE6" s="36">
        <f t="shared" si="48"/>
        <v>22.222222222222221</v>
      </c>
      <c r="EF6" s="69" t="s">
        <v>0</v>
      </c>
      <c r="EG6" s="34">
        <v>16</v>
      </c>
      <c r="EH6" s="34">
        <v>1</v>
      </c>
      <c r="EI6" s="34">
        <f t="shared" si="49"/>
        <v>17</v>
      </c>
      <c r="EJ6" s="34">
        <v>13</v>
      </c>
      <c r="EK6" s="34">
        <v>0</v>
      </c>
      <c r="EL6" s="34">
        <f t="shared" si="50"/>
        <v>4</v>
      </c>
      <c r="EM6" s="34">
        <v>2</v>
      </c>
      <c r="EN6" s="36">
        <f t="shared" si="51"/>
        <v>76.470588235294116</v>
      </c>
      <c r="EO6" s="69" t="s">
        <v>0</v>
      </c>
      <c r="EP6" s="34">
        <v>9</v>
      </c>
      <c r="EQ6" s="34">
        <v>1</v>
      </c>
      <c r="ER6" s="34">
        <f t="shared" si="52"/>
        <v>10</v>
      </c>
      <c r="ES6" s="34">
        <v>6</v>
      </c>
      <c r="ET6" s="34">
        <v>0</v>
      </c>
      <c r="EU6" s="34">
        <f t="shared" si="53"/>
        <v>4</v>
      </c>
      <c r="EV6" s="34">
        <v>1</v>
      </c>
      <c r="EW6" s="36">
        <f t="shared" si="54"/>
        <v>60</v>
      </c>
      <c r="EX6" s="69" t="s">
        <v>0</v>
      </c>
      <c r="EY6" s="56">
        <v>24</v>
      </c>
      <c r="EZ6" s="56">
        <v>4</v>
      </c>
      <c r="FA6" s="56">
        <f t="shared" si="55"/>
        <v>28</v>
      </c>
      <c r="FB6" s="34">
        <v>17</v>
      </c>
      <c r="FC6" s="34">
        <v>0</v>
      </c>
      <c r="FD6" s="56">
        <f t="shared" si="56"/>
        <v>11</v>
      </c>
      <c r="FE6" s="34">
        <v>4</v>
      </c>
      <c r="FF6" s="57">
        <f t="shared" si="57"/>
        <v>60.714285714285708</v>
      </c>
      <c r="FG6" s="68" t="s">
        <v>3</v>
      </c>
      <c r="FH6" s="39">
        <v>33</v>
      </c>
      <c r="FI6" s="39">
        <v>0</v>
      </c>
      <c r="FJ6" s="7">
        <f t="shared" si="58"/>
        <v>33</v>
      </c>
      <c r="FK6" s="39">
        <v>0</v>
      </c>
      <c r="FL6" s="39">
        <v>0</v>
      </c>
      <c r="FM6" s="7">
        <f t="shared" si="59"/>
        <v>33</v>
      </c>
      <c r="FN6" s="39">
        <v>18</v>
      </c>
      <c r="FO6" s="37">
        <f t="shared" si="0"/>
        <v>0</v>
      </c>
      <c r="FP6" s="69" t="s">
        <v>0</v>
      </c>
      <c r="FQ6" s="78">
        <v>59</v>
      </c>
      <c r="FR6" s="39">
        <v>0</v>
      </c>
      <c r="FS6" s="39">
        <f t="shared" si="60"/>
        <v>59</v>
      </c>
      <c r="FT6" s="78">
        <v>47</v>
      </c>
      <c r="FU6" s="39">
        <v>0</v>
      </c>
      <c r="FV6" s="39">
        <f t="shared" si="61"/>
        <v>12</v>
      </c>
      <c r="FW6" s="78">
        <v>23</v>
      </c>
      <c r="FX6" s="37">
        <f t="shared" si="62"/>
        <v>79.66101694915254</v>
      </c>
      <c r="FY6" s="92" t="s">
        <v>180</v>
      </c>
      <c r="FZ6" s="90">
        <v>45</v>
      </c>
      <c r="GA6" s="90">
        <v>0</v>
      </c>
      <c r="GB6" s="90">
        <f t="shared" si="63"/>
        <v>45</v>
      </c>
      <c r="GC6" s="90">
        <v>7</v>
      </c>
      <c r="GD6" s="90">
        <v>0</v>
      </c>
      <c r="GE6" s="90">
        <f t="shared" si="64"/>
        <v>38</v>
      </c>
      <c r="GF6" s="90">
        <v>16</v>
      </c>
      <c r="GG6" s="91">
        <f t="shared" si="1"/>
        <v>15.555555555555555</v>
      </c>
      <c r="GH6" s="69" t="s">
        <v>0</v>
      </c>
      <c r="GI6" s="39">
        <v>18</v>
      </c>
      <c r="GJ6" s="39">
        <v>9</v>
      </c>
      <c r="GK6" s="39">
        <f t="shared" si="65"/>
        <v>27</v>
      </c>
      <c r="GL6" s="39">
        <v>18</v>
      </c>
      <c r="GM6" s="39">
        <v>0</v>
      </c>
      <c r="GN6" s="39">
        <f t="shared" si="66"/>
        <v>9</v>
      </c>
      <c r="GO6" s="39">
        <v>0</v>
      </c>
      <c r="GP6" s="37">
        <f t="shared" si="67"/>
        <v>66.666666666666657</v>
      </c>
      <c r="GQ6" s="69" t="s">
        <v>0</v>
      </c>
      <c r="GR6" s="64">
        <v>70</v>
      </c>
      <c r="GS6" s="64">
        <v>7</v>
      </c>
      <c r="GT6" s="64">
        <f t="shared" si="68"/>
        <v>77</v>
      </c>
      <c r="GU6" s="64">
        <v>68</v>
      </c>
      <c r="GV6" s="64">
        <v>0</v>
      </c>
      <c r="GW6" s="64">
        <f t="shared" si="69"/>
        <v>9</v>
      </c>
      <c r="GX6" s="64">
        <v>7</v>
      </c>
      <c r="GY6" s="66">
        <f t="shared" si="70"/>
        <v>88.311688311688314</v>
      </c>
      <c r="GZ6" s="69" t="s">
        <v>0</v>
      </c>
      <c r="HA6" s="64">
        <v>31</v>
      </c>
      <c r="HB6" s="64">
        <v>1</v>
      </c>
      <c r="HC6" s="64">
        <f t="shared" si="71"/>
        <v>32</v>
      </c>
      <c r="HD6" s="64">
        <v>18</v>
      </c>
      <c r="HE6" s="64">
        <v>0</v>
      </c>
      <c r="HF6" s="64">
        <f t="shared" si="72"/>
        <v>14</v>
      </c>
      <c r="HG6" s="64">
        <v>3</v>
      </c>
      <c r="HH6" s="66">
        <f t="shared" si="2"/>
        <v>56.25</v>
      </c>
      <c r="HI6" s="3" t="s">
        <v>2</v>
      </c>
      <c r="HJ6" s="3">
        <v>43</v>
      </c>
      <c r="HK6" s="3">
        <v>0</v>
      </c>
      <c r="HL6" s="3">
        <f t="shared" si="73"/>
        <v>43</v>
      </c>
      <c r="HM6" s="3">
        <v>18</v>
      </c>
      <c r="HN6" s="3">
        <v>0</v>
      </c>
      <c r="HO6" s="3">
        <f t="shared" si="74"/>
        <v>25</v>
      </c>
      <c r="HP6" s="3">
        <v>8</v>
      </c>
      <c r="HQ6" s="6">
        <f t="shared" si="3"/>
        <v>41.860465116279073</v>
      </c>
      <c r="HR6" s="3" t="s">
        <v>2</v>
      </c>
      <c r="HS6" s="3">
        <v>39</v>
      </c>
      <c r="HT6" s="3">
        <v>0</v>
      </c>
      <c r="HU6" s="3">
        <f t="shared" si="75"/>
        <v>39</v>
      </c>
      <c r="HV6" s="3">
        <v>19</v>
      </c>
      <c r="HW6" s="3">
        <v>0</v>
      </c>
      <c r="HX6" s="3">
        <f t="shared" si="76"/>
        <v>20</v>
      </c>
      <c r="HY6" s="3">
        <v>11</v>
      </c>
      <c r="HZ6" s="6">
        <f t="shared" si="77"/>
        <v>48.717948717948715</v>
      </c>
      <c r="IA6" s="3" t="s">
        <v>2</v>
      </c>
      <c r="IB6" s="3">
        <v>23</v>
      </c>
      <c r="IC6" s="3">
        <v>0</v>
      </c>
      <c r="ID6" s="3">
        <f t="shared" si="78"/>
        <v>23</v>
      </c>
      <c r="IE6" s="3">
        <v>10</v>
      </c>
      <c r="IF6" s="3">
        <v>0</v>
      </c>
      <c r="IG6" s="3">
        <f t="shared" si="79"/>
        <v>13</v>
      </c>
      <c r="IH6" s="3">
        <v>5</v>
      </c>
      <c r="II6" s="6">
        <f t="shared" si="80"/>
        <v>43.478260869565219</v>
      </c>
      <c r="IJ6" s="3" t="s">
        <v>2</v>
      </c>
      <c r="IK6" s="3">
        <v>24</v>
      </c>
      <c r="IL6" s="3">
        <v>5</v>
      </c>
      <c r="IM6" s="3">
        <f t="shared" si="81"/>
        <v>29</v>
      </c>
      <c r="IN6" s="3">
        <v>14</v>
      </c>
      <c r="IO6" s="3">
        <v>0</v>
      </c>
      <c r="IP6" s="3">
        <f t="shared" si="82"/>
        <v>15</v>
      </c>
      <c r="IQ6" s="3">
        <v>1</v>
      </c>
      <c r="IR6" s="6">
        <f t="shared" si="83"/>
        <v>48.275862068965516</v>
      </c>
      <c r="IS6" s="3" t="s">
        <v>2</v>
      </c>
      <c r="IT6" s="3">
        <v>34</v>
      </c>
      <c r="IU6" s="3">
        <v>2</v>
      </c>
      <c r="IV6" s="3">
        <f t="shared" si="84"/>
        <v>36</v>
      </c>
      <c r="IW6" s="3">
        <v>23</v>
      </c>
      <c r="IX6" s="3">
        <v>0</v>
      </c>
      <c r="IY6" s="3">
        <f t="shared" si="85"/>
        <v>13</v>
      </c>
      <c r="IZ6" s="3">
        <v>1</v>
      </c>
      <c r="JA6" s="6">
        <f t="shared" si="86"/>
        <v>63.888888888888886</v>
      </c>
      <c r="JB6" s="65" t="s">
        <v>0</v>
      </c>
      <c r="JC6" s="5">
        <v>26</v>
      </c>
      <c r="JD6" s="5">
        <v>2</v>
      </c>
      <c r="JE6" s="5">
        <f t="shared" si="87"/>
        <v>28</v>
      </c>
      <c r="JF6" s="5">
        <v>17</v>
      </c>
      <c r="JG6" s="5">
        <v>1</v>
      </c>
      <c r="JH6" s="5">
        <f t="shared" si="88"/>
        <v>11</v>
      </c>
      <c r="JI6" s="5">
        <v>2</v>
      </c>
      <c r="JJ6" s="23">
        <f t="shared" si="89"/>
        <v>60.714285714285708</v>
      </c>
    </row>
    <row r="7" spans="1:270" x14ac:dyDescent="0.2">
      <c r="A7" s="1" t="s">
        <v>2</v>
      </c>
      <c r="B7" s="71">
        <v>20</v>
      </c>
      <c r="C7" s="72">
        <v>0</v>
      </c>
      <c r="D7" s="72">
        <f t="shared" si="4"/>
        <v>20</v>
      </c>
      <c r="E7" s="72">
        <v>5</v>
      </c>
      <c r="F7" s="72">
        <v>0</v>
      </c>
      <c r="G7" s="72">
        <f t="shared" si="5"/>
        <v>15</v>
      </c>
      <c r="H7" s="72">
        <v>9</v>
      </c>
      <c r="I7" s="27">
        <f t="shared" si="6"/>
        <v>25</v>
      </c>
      <c r="J7" s="1" t="s">
        <v>2</v>
      </c>
      <c r="K7" s="10">
        <v>29</v>
      </c>
      <c r="L7" s="10">
        <v>0</v>
      </c>
      <c r="M7" s="10">
        <f t="shared" si="7"/>
        <v>29</v>
      </c>
      <c r="N7" s="10">
        <v>17</v>
      </c>
      <c r="O7" s="10">
        <v>0</v>
      </c>
      <c r="P7" s="74">
        <f t="shared" si="8"/>
        <v>12</v>
      </c>
      <c r="Q7" s="74">
        <v>7</v>
      </c>
      <c r="R7" s="28">
        <f t="shared" si="9"/>
        <v>58.620689655172406</v>
      </c>
      <c r="S7" s="1" t="s">
        <v>2</v>
      </c>
      <c r="T7" s="10">
        <v>32</v>
      </c>
      <c r="U7" s="10">
        <v>0</v>
      </c>
      <c r="V7" s="10">
        <f t="shared" si="10"/>
        <v>32</v>
      </c>
      <c r="W7" s="10">
        <v>16</v>
      </c>
      <c r="X7" s="10">
        <v>0</v>
      </c>
      <c r="Y7" s="74">
        <f t="shared" si="11"/>
        <v>16</v>
      </c>
      <c r="Z7" s="10">
        <v>9</v>
      </c>
      <c r="AA7" s="28">
        <f t="shared" si="12"/>
        <v>50</v>
      </c>
      <c r="AB7" s="1" t="s">
        <v>0</v>
      </c>
      <c r="AC7" s="5">
        <v>23</v>
      </c>
      <c r="AD7" s="5">
        <v>11</v>
      </c>
      <c r="AE7" s="76">
        <f t="shared" si="13"/>
        <v>34</v>
      </c>
      <c r="AF7" s="5">
        <v>19</v>
      </c>
      <c r="AG7" s="5">
        <v>0</v>
      </c>
      <c r="AH7" s="76">
        <f t="shared" si="14"/>
        <v>15</v>
      </c>
      <c r="AI7" s="5">
        <v>4</v>
      </c>
      <c r="AJ7" s="13">
        <f t="shared" si="15"/>
        <v>55.882352941176471</v>
      </c>
      <c r="AK7" s="1" t="s">
        <v>0</v>
      </c>
      <c r="AL7" s="5">
        <v>21</v>
      </c>
      <c r="AM7" s="5">
        <v>3</v>
      </c>
      <c r="AN7" s="5">
        <f t="shared" si="16"/>
        <v>24</v>
      </c>
      <c r="AO7" s="5">
        <v>17</v>
      </c>
      <c r="AP7" s="5">
        <v>0</v>
      </c>
      <c r="AQ7" s="5">
        <f t="shared" si="17"/>
        <v>7</v>
      </c>
      <c r="AR7" s="5">
        <v>0</v>
      </c>
      <c r="AS7" s="9">
        <f t="shared" si="18"/>
        <v>70.833333333333343</v>
      </c>
      <c r="AT7" t="s">
        <v>2</v>
      </c>
      <c r="AU7" s="3">
        <v>28</v>
      </c>
      <c r="AV7" s="3">
        <v>7</v>
      </c>
      <c r="AW7" s="5">
        <f t="shared" si="19"/>
        <v>35</v>
      </c>
      <c r="AX7" s="3">
        <v>23</v>
      </c>
      <c r="AY7" s="3">
        <v>0</v>
      </c>
      <c r="AZ7" s="5">
        <f t="shared" si="20"/>
        <v>12</v>
      </c>
      <c r="BA7" s="3">
        <v>3</v>
      </c>
      <c r="BB7" s="4">
        <f t="shared" si="21"/>
        <v>65.714285714285708</v>
      </c>
      <c r="BC7" s="1" t="s">
        <v>0</v>
      </c>
      <c r="BD7" s="5">
        <v>43</v>
      </c>
      <c r="BE7" s="5">
        <v>0</v>
      </c>
      <c r="BF7" s="5">
        <f t="shared" si="22"/>
        <v>43</v>
      </c>
      <c r="BG7" s="5">
        <v>2</v>
      </c>
      <c r="BH7" s="5">
        <v>0</v>
      </c>
      <c r="BI7" s="5">
        <f t="shared" si="23"/>
        <v>41</v>
      </c>
      <c r="BJ7" s="5">
        <v>0</v>
      </c>
      <c r="BK7" s="9">
        <f t="shared" si="24"/>
        <v>4.6511627906976747</v>
      </c>
      <c r="BL7" s="1" t="s">
        <v>0</v>
      </c>
      <c r="BM7" s="5">
        <v>34</v>
      </c>
      <c r="BN7" s="5">
        <v>0</v>
      </c>
      <c r="BO7" s="5">
        <f t="shared" si="25"/>
        <v>34</v>
      </c>
      <c r="BP7" s="5">
        <v>2</v>
      </c>
      <c r="BQ7" s="5">
        <v>0</v>
      </c>
      <c r="BR7" s="5">
        <f t="shared" si="26"/>
        <v>32</v>
      </c>
      <c r="BS7" s="5">
        <v>0</v>
      </c>
      <c r="BT7" s="18">
        <f t="shared" si="27"/>
        <v>5.8823529411764701</v>
      </c>
      <c r="BU7" s="1" t="s">
        <v>0</v>
      </c>
      <c r="BV7" s="5">
        <v>27</v>
      </c>
      <c r="BW7" s="5">
        <v>0</v>
      </c>
      <c r="BX7" s="5">
        <f t="shared" si="28"/>
        <v>27</v>
      </c>
      <c r="BY7" s="5">
        <v>7</v>
      </c>
      <c r="BZ7" s="5">
        <v>0</v>
      </c>
      <c r="CA7" s="5">
        <f t="shared" si="29"/>
        <v>20</v>
      </c>
      <c r="CB7" s="5">
        <v>4</v>
      </c>
      <c r="CC7" s="9">
        <f t="shared" si="30"/>
        <v>25.925925925925924</v>
      </c>
      <c r="CD7" s="9" t="s">
        <v>3</v>
      </c>
      <c r="CE7" s="76">
        <v>45</v>
      </c>
      <c r="CF7" s="76">
        <v>18</v>
      </c>
      <c r="CG7" s="76">
        <f t="shared" si="31"/>
        <v>63</v>
      </c>
      <c r="CH7" s="76">
        <v>34</v>
      </c>
      <c r="CI7" s="76">
        <v>0</v>
      </c>
      <c r="CJ7" s="76">
        <f t="shared" si="32"/>
        <v>29</v>
      </c>
      <c r="CK7" s="76">
        <v>0</v>
      </c>
      <c r="CL7" s="23">
        <f t="shared" si="33"/>
        <v>53.968253968253968</v>
      </c>
      <c r="CM7" s="9" t="s">
        <v>3</v>
      </c>
      <c r="CN7" s="76">
        <v>33</v>
      </c>
      <c r="CO7" s="76">
        <v>4</v>
      </c>
      <c r="CP7" s="76">
        <f t="shared" si="34"/>
        <v>37</v>
      </c>
      <c r="CQ7" s="76">
        <v>30</v>
      </c>
      <c r="CR7" s="76">
        <v>0</v>
      </c>
      <c r="CS7" s="76">
        <f t="shared" si="35"/>
        <v>7</v>
      </c>
      <c r="CT7" s="76">
        <v>0</v>
      </c>
      <c r="CU7" s="9">
        <f t="shared" si="36"/>
        <v>81.081081081081081</v>
      </c>
      <c r="CV7" s="9" t="s">
        <v>3</v>
      </c>
      <c r="CW7" s="76">
        <v>51</v>
      </c>
      <c r="CX7" s="76">
        <v>49</v>
      </c>
      <c r="CY7" s="76">
        <f t="shared" si="37"/>
        <v>100</v>
      </c>
      <c r="CZ7" s="76">
        <v>34</v>
      </c>
      <c r="DA7" s="76">
        <v>0</v>
      </c>
      <c r="DB7" s="76">
        <f t="shared" si="38"/>
        <v>66</v>
      </c>
      <c r="DC7" s="76">
        <v>0</v>
      </c>
      <c r="DD7" s="23">
        <f t="shared" si="39"/>
        <v>34</v>
      </c>
      <c r="DE7" s="69" t="s">
        <v>0</v>
      </c>
      <c r="DF7" s="55">
        <v>27</v>
      </c>
      <c r="DG7" s="55">
        <v>0</v>
      </c>
      <c r="DH7" s="55">
        <f t="shared" si="40"/>
        <v>27</v>
      </c>
      <c r="DI7" s="55">
        <v>6</v>
      </c>
      <c r="DJ7" s="55">
        <v>0</v>
      </c>
      <c r="DK7" s="55">
        <f t="shared" si="41"/>
        <v>21</v>
      </c>
      <c r="DL7" s="55">
        <v>11</v>
      </c>
      <c r="DM7" s="36">
        <f t="shared" si="42"/>
        <v>22.222222222222221</v>
      </c>
      <c r="DN7" s="1" t="s">
        <v>0</v>
      </c>
      <c r="DO7">
        <v>26</v>
      </c>
      <c r="DP7">
        <v>0</v>
      </c>
      <c r="DQ7">
        <f t="shared" si="43"/>
        <v>26</v>
      </c>
      <c r="DR7">
        <v>2</v>
      </c>
      <c r="DS7">
        <v>0</v>
      </c>
      <c r="DT7">
        <f t="shared" si="44"/>
        <v>24</v>
      </c>
      <c r="DU7">
        <v>19</v>
      </c>
      <c r="DV7" s="11">
        <f t="shared" si="45"/>
        <v>7.6923076923076925</v>
      </c>
      <c r="DW7" s="2" t="s">
        <v>1</v>
      </c>
      <c r="DX7" s="3">
        <v>20</v>
      </c>
      <c r="DY7" s="3">
        <v>0</v>
      </c>
      <c r="DZ7" s="55">
        <f t="shared" si="46"/>
        <v>20</v>
      </c>
      <c r="EA7" s="3">
        <v>13</v>
      </c>
      <c r="EB7" s="3">
        <v>0</v>
      </c>
      <c r="EC7" s="55">
        <f t="shared" si="47"/>
        <v>7</v>
      </c>
      <c r="ED7" s="3">
        <v>0</v>
      </c>
      <c r="EE7" s="4">
        <f t="shared" si="48"/>
        <v>65</v>
      </c>
      <c r="EF7" s="69" t="s">
        <v>0</v>
      </c>
      <c r="EG7" s="34">
        <v>16</v>
      </c>
      <c r="EH7" s="34">
        <v>3</v>
      </c>
      <c r="EI7" s="34">
        <f t="shared" si="49"/>
        <v>19</v>
      </c>
      <c r="EJ7" s="34">
        <v>12</v>
      </c>
      <c r="EK7" s="34">
        <v>0</v>
      </c>
      <c r="EL7" s="34">
        <f t="shared" si="50"/>
        <v>7</v>
      </c>
      <c r="EM7" s="34">
        <v>0</v>
      </c>
      <c r="EN7" s="36">
        <f t="shared" si="51"/>
        <v>63.157894736842103</v>
      </c>
      <c r="EO7" s="69" t="s">
        <v>0</v>
      </c>
      <c r="EP7" s="34">
        <v>8</v>
      </c>
      <c r="EQ7" s="34">
        <v>0</v>
      </c>
      <c r="ER7" s="34">
        <f t="shared" si="52"/>
        <v>8</v>
      </c>
      <c r="ES7" s="34">
        <v>6</v>
      </c>
      <c r="ET7" s="34">
        <v>0</v>
      </c>
      <c r="EU7" s="34">
        <f t="shared" si="53"/>
        <v>2</v>
      </c>
      <c r="EV7" s="34">
        <v>1</v>
      </c>
      <c r="EW7" s="36">
        <f t="shared" si="54"/>
        <v>75</v>
      </c>
      <c r="EX7" s="69" t="s">
        <v>0</v>
      </c>
      <c r="EY7" s="56">
        <v>17</v>
      </c>
      <c r="EZ7" s="56">
        <v>3</v>
      </c>
      <c r="FA7" s="56">
        <f t="shared" si="55"/>
        <v>20</v>
      </c>
      <c r="FB7" s="34">
        <v>12</v>
      </c>
      <c r="FC7" s="34">
        <v>0</v>
      </c>
      <c r="FD7" s="56">
        <f t="shared" si="56"/>
        <v>8</v>
      </c>
      <c r="FE7" s="34">
        <v>3</v>
      </c>
      <c r="FF7" s="57">
        <f t="shared" si="57"/>
        <v>60</v>
      </c>
      <c r="FG7" s="68" t="s">
        <v>3</v>
      </c>
      <c r="FH7" s="39">
        <v>33</v>
      </c>
      <c r="FI7" s="39">
        <v>0</v>
      </c>
      <c r="FJ7" s="7">
        <f t="shared" si="58"/>
        <v>33</v>
      </c>
      <c r="FK7" s="39">
        <v>1</v>
      </c>
      <c r="FL7" s="39">
        <v>0</v>
      </c>
      <c r="FM7" s="7">
        <f t="shared" si="59"/>
        <v>32</v>
      </c>
      <c r="FN7" s="39">
        <v>14</v>
      </c>
      <c r="FO7" s="37">
        <f t="shared" si="0"/>
        <v>3.0303030303030303</v>
      </c>
      <c r="FP7" s="69" t="s">
        <v>0</v>
      </c>
      <c r="FQ7" s="78">
        <v>63</v>
      </c>
      <c r="FR7" s="39">
        <v>0</v>
      </c>
      <c r="FS7" s="39">
        <f t="shared" si="60"/>
        <v>63</v>
      </c>
      <c r="FT7" s="78">
        <v>46</v>
      </c>
      <c r="FU7" s="39">
        <v>0</v>
      </c>
      <c r="FV7" s="39">
        <f t="shared" si="61"/>
        <v>17</v>
      </c>
      <c r="FW7" s="78">
        <v>8</v>
      </c>
      <c r="FX7" s="37">
        <f t="shared" si="62"/>
        <v>73.015873015873012</v>
      </c>
      <c r="FY7" s="92" t="s">
        <v>180</v>
      </c>
      <c r="FZ7" s="90">
        <v>23</v>
      </c>
      <c r="GA7" s="90">
        <v>0</v>
      </c>
      <c r="GB7" s="90">
        <f t="shared" si="63"/>
        <v>23</v>
      </c>
      <c r="GC7" s="90">
        <v>1</v>
      </c>
      <c r="GD7" s="90">
        <v>0</v>
      </c>
      <c r="GE7" s="90">
        <f t="shared" si="64"/>
        <v>22</v>
      </c>
      <c r="GF7" s="90">
        <v>9</v>
      </c>
      <c r="GG7" s="91">
        <f t="shared" si="1"/>
        <v>4.3478260869565215</v>
      </c>
      <c r="GH7" s="69" t="s">
        <v>0</v>
      </c>
      <c r="GI7" s="39">
        <v>30</v>
      </c>
      <c r="GJ7" s="39">
        <v>18</v>
      </c>
      <c r="GK7" s="39">
        <f t="shared" si="65"/>
        <v>48</v>
      </c>
      <c r="GL7" s="39">
        <v>26</v>
      </c>
      <c r="GM7" s="39">
        <v>0</v>
      </c>
      <c r="GN7" s="39">
        <f t="shared" si="66"/>
        <v>22</v>
      </c>
      <c r="GO7" s="39">
        <v>1</v>
      </c>
      <c r="GP7" s="37">
        <f t="shared" si="67"/>
        <v>54.166666666666664</v>
      </c>
      <c r="GQ7" s="69" t="s">
        <v>0</v>
      </c>
      <c r="GR7" s="64">
        <v>32</v>
      </c>
      <c r="GS7" s="64">
        <v>2</v>
      </c>
      <c r="GT7" s="64">
        <f t="shared" si="68"/>
        <v>34</v>
      </c>
      <c r="GU7" s="64">
        <v>32</v>
      </c>
      <c r="GV7" s="64">
        <v>0</v>
      </c>
      <c r="GW7" s="64">
        <f t="shared" si="69"/>
        <v>2</v>
      </c>
      <c r="GX7" s="64">
        <v>4</v>
      </c>
      <c r="GY7" s="66">
        <f t="shared" si="70"/>
        <v>94.117647058823522</v>
      </c>
      <c r="GZ7" s="68" t="s">
        <v>3</v>
      </c>
      <c r="HA7" s="64">
        <v>16</v>
      </c>
      <c r="HB7" s="64">
        <v>2</v>
      </c>
      <c r="HC7" s="64">
        <f t="shared" si="71"/>
        <v>18</v>
      </c>
      <c r="HD7" s="64">
        <v>4</v>
      </c>
      <c r="HE7" s="64">
        <v>0</v>
      </c>
      <c r="HF7" s="64">
        <f t="shared" si="72"/>
        <v>14</v>
      </c>
      <c r="HG7" s="64">
        <v>2</v>
      </c>
      <c r="HH7" s="66">
        <f t="shared" si="2"/>
        <v>22.222222222222221</v>
      </c>
      <c r="HI7" s="3" t="s">
        <v>2</v>
      </c>
      <c r="HJ7" s="3">
        <v>33</v>
      </c>
      <c r="HK7" s="3">
        <v>0</v>
      </c>
      <c r="HL7" s="3">
        <f t="shared" si="73"/>
        <v>33</v>
      </c>
      <c r="HM7" s="3">
        <v>8</v>
      </c>
      <c r="HN7" s="3">
        <v>0</v>
      </c>
      <c r="HO7" s="3">
        <f t="shared" si="74"/>
        <v>25</v>
      </c>
      <c r="HP7" s="3">
        <v>14</v>
      </c>
      <c r="HQ7" s="6">
        <f t="shared" si="3"/>
        <v>24.242424242424242</v>
      </c>
      <c r="HR7" s="3" t="s">
        <v>2</v>
      </c>
      <c r="HS7" s="3">
        <v>45</v>
      </c>
      <c r="HT7" s="3">
        <v>0</v>
      </c>
      <c r="HU7" s="3">
        <f t="shared" si="75"/>
        <v>45</v>
      </c>
      <c r="HV7" s="3">
        <v>26</v>
      </c>
      <c r="HW7" s="3">
        <v>0</v>
      </c>
      <c r="HX7" s="3">
        <f t="shared" si="76"/>
        <v>19</v>
      </c>
      <c r="HY7" s="3">
        <v>13</v>
      </c>
      <c r="HZ7" s="6">
        <f t="shared" si="77"/>
        <v>57.777777777777771</v>
      </c>
      <c r="IA7" s="3" t="s">
        <v>2</v>
      </c>
      <c r="IB7" s="3">
        <v>18</v>
      </c>
      <c r="IC7" s="3">
        <v>0</v>
      </c>
      <c r="ID7" s="3">
        <f t="shared" si="78"/>
        <v>18</v>
      </c>
      <c r="IE7" s="3">
        <v>6</v>
      </c>
      <c r="IF7" s="3">
        <v>0</v>
      </c>
      <c r="IG7" s="3">
        <f t="shared" si="79"/>
        <v>12</v>
      </c>
      <c r="IH7" s="3">
        <v>11</v>
      </c>
      <c r="II7" s="6">
        <f t="shared" si="80"/>
        <v>33.333333333333329</v>
      </c>
      <c r="IJ7" s="3" t="s">
        <v>2</v>
      </c>
      <c r="IK7" s="3">
        <v>29</v>
      </c>
      <c r="IL7" s="3">
        <v>6</v>
      </c>
      <c r="IM7" s="3">
        <f t="shared" si="81"/>
        <v>35</v>
      </c>
      <c r="IN7" s="3">
        <v>14</v>
      </c>
      <c r="IO7" s="3">
        <v>0</v>
      </c>
      <c r="IP7" s="3">
        <f t="shared" si="82"/>
        <v>21</v>
      </c>
      <c r="IQ7" s="3">
        <v>0</v>
      </c>
      <c r="IR7" s="6">
        <f t="shared" si="83"/>
        <v>40</v>
      </c>
      <c r="IS7" s="3" t="s">
        <v>2</v>
      </c>
      <c r="IT7" s="3">
        <v>20</v>
      </c>
      <c r="IU7" s="3">
        <v>3</v>
      </c>
      <c r="IV7" s="3">
        <f t="shared" si="84"/>
        <v>23</v>
      </c>
      <c r="IW7" s="3">
        <v>17</v>
      </c>
      <c r="IX7" s="3">
        <v>0</v>
      </c>
      <c r="IY7" s="3">
        <f t="shared" si="85"/>
        <v>6</v>
      </c>
      <c r="IZ7" s="3">
        <v>2</v>
      </c>
      <c r="JA7" s="6">
        <f t="shared" si="86"/>
        <v>73.91304347826086</v>
      </c>
      <c r="JB7" s="65" t="s">
        <v>0</v>
      </c>
      <c r="JC7" s="5">
        <v>24</v>
      </c>
      <c r="JD7" s="5">
        <v>1</v>
      </c>
      <c r="JE7" s="5">
        <f t="shared" si="87"/>
        <v>25</v>
      </c>
      <c r="JF7" s="5">
        <v>16</v>
      </c>
      <c r="JG7" s="5">
        <v>0</v>
      </c>
      <c r="JH7" s="5">
        <f t="shared" si="88"/>
        <v>9</v>
      </c>
      <c r="JI7" s="5">
        <v>2</v>
      </c>
      <c r="JJ7" s="23">
        <f t="shared" si="89"/>
        <v>64</v>
      </c>
    </row>
    <row r="8" spans="1:270" x14ac:dyDescent="0.2">
      <c r="A8" s="1" t="s">
        <v>2</v>
      </c>
      <c r="B8" s="71">
        <v>24</v>
      </c>
      <c r="C8" s="72">
        <v>0</v>
      </c>
      <c r="D8" s="72">
        <f t="shared" si="4"/>
        <v>24</v>
      </c>
      <c r="E8" s="72">
        <v>9</v>
      </c>
      <c r="F8" s="72">
        <v>0</v>
      </c>
      <c r="G8" s="72">
        <f t="shared" si="5"/>
        <v>15</v>
      </c>
      <c r="H8" s="72">
        <v>2</v>
      </c>
      <c r="I8" s="27">
        <f t="shared" si="6"/>
        <v>37.5</v>
      </c>
      <c r="J8" s="1" t="s">
        <v>2</v>
      </c>
      <c r="K8" s="10">
        <v>23</v>
      </c>
      <c r="L8" s="10">
        <v>0</v>
      </c>
      <c r="M8" s="10">
        <f t="shared" si="7"/>
        <v>23</v>
      </c>
      <c r="N8" s="10">
        <v>11</v>
      </c>
      <c r="O8" s="10">
        <v>0</v>
      </c>
      <c r="P8" s="74">
        <f t="shared" si="8"/>
        <v>12</v>
      </c>
      <c r="Q8" s="74">
        <v>5</v>
      </c>
      <c r="R8" s="28">
        <f t="shared" si="9"/>
        <v>47.826086956521742</v>
      </c>
      <c r="S8" s="1" t="s">
        <v>2</v>
      </c>
      <c r="T8" s="10">
        <v>24</v>
      </c>
      <c r="U8" s="10">
        <v>0</v>
      </c>
      <c r="V8" s="10">
        <f t="shared" si="10"/>
        <v>24</v>
      </c>
      <c r="W8" s="10">
        <v>12</v>
      </c>
      <c r="X8" s="10">
        <v>0</v>
      </c>
      <c r="Y8" s="74">
        <f t="shared" si="11"/>
        <v>12</v>
      </c>
      <c r="Z8" s="10">
        <v>1</v>
      </c>
      <c r="AA8" s="28">
        <f t="shared" si="12"/>
        <v>50</v>
      </c>
      <c r="AB8" s="1" t="s">
        <v>0</v>
      </c>
      <c r="AC8" s="5">
        <v>33</v>
      </c>
      <c r="AD8" s="5">
        <v>8</v>
      </c>
      <c r="AE8" s="76">
        <f t="shared" si="13"/>
        <v>41</v>
      </c>
      <c r="AF8" s="5">
        <v>24</v>
      </c>
      <c r="AG8" s="5">
        <v>0</v>
      </c>
      <c r="AH8" s="76">
        <f t="shared" si="14"/>
        <v>17</v>
      </c>
      <c r="AI8" s="5">
        <v>3</v>
      </c>
      <c r="AJ8" s="13">
        <f t="shared" si="15"/>
        <v>58.536585365853654</v>
      </c>
      <c r="AK8" s="1" t="s">
        <v>0</v>
      </c>
      <c r="AL8" s="5">
        <v>16</v>
      </c>
      <c r="AM8" s="5">
        <v>10</v>
      </c>
      <c r="AN8" s="5">
        <f t="shared" si="16"/>
        <v>26</v>
      </c>
      <c r="AO8" s="5">
        <v>16</v>
      </c>
      <c r="AP8" s="5">
        <v>0</v>
      </c>
      <c r="AQ8" s="5">
        <f t="shared" si="17"/>
        <v>10</v>
      </c>
      <c r="AR8" s="5">
        <v>3</v>
      </c>
      <c r="AS8" s="9">
        <f t="shared" si="18"/>
        <v>61.53846153846154</v>
      </c>
      <c r="AT8" t="s">
        <v>2</v>
      </c>
      <c r="AU8" s="3">
        <v>19</v>
      </c>
      <c r="AV8" s="3">
        <v>7</v>
      </c>
      <c r="AW8" s="5">
        <f t="shared" si="19"/>
        <v>26</v>
      </c>
      <c r="AX8" s="3">
        <v>19</v>
      </c>
      <c r="AY8" s="3">
        <v>0</v>
      </c>
      <c r="AZ8" s="5">
        <f t="shared" si="20"/>
        <v>7</v>
      </c>
      <c r="BA8" s="3">
        <v>4</v>
      </c>
      <c r="BB8" s="4">
        <f t="shared" si="21"/>
        <v>73.076923076923066</v>
      </c>
      <c r="BC8" s="1" t="s">
        <v>0</v>
      </c>
      <c r="BD8" s="5">
        <v>43</v>
      </c>
      <c r="BE8" s="5">
        <v>0</v>
      </c>
      <c r="BF8" s="5">
        <f t="shared" si="22"/>
        <v>43</v>
      </c>
      <c r="BG8" s="5">
        <v>0</v>
      </c>
      <c r="BH8" s="5">
        <v>0</v>
      </c>
      <c r="BI8" s="5">
        <f t="shared" si="23"/>
        <v>43</v>
      </c>
      <c r="BJ8" s="5">
        <v>1</v>
      </c>
      <c r="BK8" s="9">
        <f t="shared" si="24"/>
        <v>0</v>
      </c>
      <c r="BL8" s="1" t="s">
        <v>0</v>
      </c>
      <c r="BM8" s="5">
        <v>33</v>
      </c>
      <c r="BN8" s="5">
        <v>0</v>
      </c>
      <c r="BO8" s="5">
        <f t="shared" si="25"/>
        <v>33</v>
      </c>
      <c r="BP8" s="5">
        <v>1</v>
      </c>
      <c r="BQ8" s="5">
        <v>0</v>
      </c>
      <c r="BR8" s="5">
        <f t="shared" si="26"/>
        <v>32</v>
      </c>
      <c r="BS8" s="5">
        <v>0</v>
      </c>
      <c r="BT8" s="18">
        <f t="shared" si="27"/>
        <v>3.0303030303030303</v>
      </c>
      <c r="BU8" s="1" t="s">
        <v>0</v>
      </c>
      <c r="BV8" s="5">
        <v>42</v>
      </c>
      <c r="BW8" s="5">
        <v>0</v>
      </c>
      <c r="BX8" s="5">
        <f t="shared" si="28"/>
        <v>42</v>
      </c>
      <c r="BY8" s="5">
        <v>20</v>
      </c>
      <c r="BZ8" s="5">
        <v>0</v>
      </c>
      <c r="CA8" s="5">
        <f t="shared" si="29"/>
        <v>22</v>
      </c>
      <c r="CB8" s="5">
        <v>3</v>
      </c>
      <c r="CC8" s="9">
        <f t="shared" si="30"/>
        <v>47.619047619047613</v>
      </c>
      <c r="CD8" s="9" t="s">
        <v>3</v>
      </c>
      <c r="CE8" s="76">
        <v>29</v>
      </c>
      <c r="CF8" s="76">
        <v>6</v>
      </c>
      <c r="CG8" s="76">
        <f t="shared" si="31"/>
        <v>35</v>
      </c>
      <c r="CH8" s="76">
        <v>20</v>
      </c>
      <c r="CI8" s="76">
        <v>0</v>
      </c>
      <c r="CJ8" s="76">
        <f t="shared" si="32"/>
        <v>15</v>
      </c>
      <c r="CK8" s="76">
        <v>0</v>
      </c>
      <c r="CL8" s="23">
        <f t="shared" si="33"/>
        <v>57.142857142857139</v>
      </c>
      <c r="CM8" s="9" t="s">
        <v>3</v>
      </c>
      <c r="CN8" s="76">
        <v>36</v>
      </c>
      <c r="CO8" s="76">
        <v>4</v>
      </c>
      <c r="CP8" s="76">
        <f t="shared" si="34"/>
        <v>40</v>
      </c>
      <c r="CQ8" s="76">
        <v>17</v>
      </c>
      <c r="CR8" s="76">
        <v>0</v>
      </c>
      <c r="CS8" s="76">
        <f t="shared" si="35"/>
        <v>23</v>
      </c>
      <c r="CT8" s="76">
        <v>3</v>
      </c>
      <c r="CU8" s="9">
        <f t="shared" si="36"/>
        <v>42.5</v>
      </c>
      <c r="CV8" s="9" t="s">
        <v>3</v>
      </c>
      <c r="CW8" s="76">
        <v>37</v>
      </c>
      <c r="CX8" s="76">
        <v>43</v>
      </c>
      <c r="CY8" s="76">
        <f t="shared" si="37"/>
        <v>80</v>
      </c>
      <c r="CZ8" s="76">
        <v>23</v>
      </c>
      <c r="DA8" s="76">
        <v>0</v>
      </c>
      <c r="DB8" s="76">
        <f t="shared" si="38"/>
        <v>57</v>
      </c>
      <c r="DC8" s="76">
        <v>1</v>
      </c>
      <c r="DD8" s="23">
        <f t="shared" si="39"/>
        <v>28.749999999999996</v>
      </c>
      <c r="DE8" s="69" t="s">
        <v>0</v>
      </c>
      <c r="DF8" s="55">
        <v>25</v>
      </c>
      <c r="DG8" s="55">
        <v>0</v>
      </c>
      <c r="DH8" s="55">
        <f t="shared" si="40"/>
        <v>25</v>
      </c>
      <c r="DI8" s="55">
        <v>3</v>
      </c>
      <c r="DJ8" s="55">
        <v>0</v>
      </c>
      <c r="DK8" s="55">
        <f t="shared" si="41"/>
        <v>22</v>
      </c>
      <c r="DL8" s="55">
        <v>15</v>
      </c>
      <c r="DM8" s="36">
        <f t="shared" si="42"/>
        <v>12</v>
      </c>
      <c r="DN8" s="1" t="s">
        <v>0</v>
      </c>
      <c r="DO8">
        <v>18</v>
      </c>
      <c r="DP8">
        <v>0</v>
      </c>
      <c r="DQ8">
        <f t="shared" si="43"/>
        <v>18</v>
      </c>
      <c r="DR8">
        <v>1</v>
      </c>
      <c r="DS8">
        <v>0</v>
      </c>
      <c r="DT8">
        <f t="shared" si="44"/>
        <v>17</v>
      </c>
      <c r="DU8">
        <v>12</v>
      </c>
      <c r="DV8" s="11">
        <f t="shared" si="45"/>
        <v>5.5555555555555554</v>
      </c>
      <c r="DW8" s="2" t="s">
        <v>1</v>
      </c>
      <c r="DX8" s="3">
        <v>19</v>
      </c>
      <c r="DY8" s="3">
        <v>0</v>
      </c>
      <c r="DZ8" s="55">
        <f t="shared" si="46"/>
        <v>19</v>
      </c>
      <c r="EA8" s="3">
        <v>12</v>
      </c>
      <c r="EB8" s="3">
        <v>0</v>
      </c>
      <c r="EC8" s="55">
        <f t="shared" si="47"/>
        <v>7</v>
      </c>
      <c r="ED8" s="3">
        <v>0</v>
      </c>
      <c r="EE8" s="4">
        <f t="shared" si="48"/>
        <v>63.157894736842103</v>
      </c>
      <c r="EF8" s="69" t="s">
        <v>0</v>
      </c>
      <c r="EG8" s="34">
        <v>7</v>
      </c>
      <c r="EH8" s="34">
        <v>3</v>
      </c>
      <c r="EI8" s="34">
        <f t="shared" si="49"/>
        <v>10</v>
      </c>
      <c r="EJ8" s="34">
        <v>6</v>
      </c>
      <c r="EK8" s="34">
        <v>0</v>
      </c>
      <c r="EL8" s="34">
        <f t="shared" si="50"/>
        <v>4</v>
      </c>
      <c r="EM8" s="34">
        <v>1</v>
      </c>
      <c r="EN8" s="36">
        <f t="shared" si="51"/>
        <v>60</v>
      </c>
      <c r="EO8" s="69" t="s">
        <v>0</v>
      </c>
      <c r="EP8" s="34">
        <v>5</v>
      </c>
      <c r="EQ8" s="34">
        <v>0</v>
      </c>
      <c r="ER8" s="34">
        <f t="shared" si="52"/>
        <v>5</v>
      </c>
      <c r="ES8" s="34">
        <v>3</v>
      </c>
      <c r="ET8" s="34">
        <v>0</v>
      </c>
      <c r="EU8" s="34">
        <f t="shared" si="53"/>
        <v>2</v>
      </c>
      <c r="EV8" s="34">
        <v>1</v>
      </c>
      <c r="EW8" s="36">
        <f t="shared" si="54"/>
        <v>60</v>
      </c>
      <c r="EX8" s="69" t="s">
        <v>0</v>
      </c>
      <c r="EY8" s="56">
        <v>13</v>
      </c>
      <c r="EZ8" s="56">
        <v>3</v>
      </c>
      <c r="FA8" s="56">
        <f t="shared" si="55"/>
        <v>16</v>
      </c>
      <c r="FB8" s="34">
        <v>11</v>
      </c>
      <c r="FC8" s="34">
        <v>0</v>
      </c>
      <c r="FD8" s="56">
        <f t="shared" si="56"/>
        <v>5</v>
      </c>
      <c r="FE8" s="34">
        <v>1</v>
      </c>
      <c r="FF8" s="57">
        <f t="shared" si="57"/>
        <v>68.75</v>
      </c>
      <c r="FG8" s="68" t="s">
        <v>3</v>
      </c>
      <c r="FH8" s="39">
        <v>44</v>
      </c>
      <c r="FI8" s="39">
        <v>0</v>
      </c>
      <c r="FJ8" s="7">
        <f t="shared" si="58"/>
        <v>44</v>
      </c>
      <c r="FK8" s="39">
        <v>3</v>
      </c>
      <c r="FL8" s="39">
        <v>0</v>
      </c>
      <c r="FM8" s="7">
        <f t="shared" si="59"/>
        <v>41</v>
      </c>
      <c r="FN8" s="39">
        <v>11</v>
      </c>
      <c r="FO8" s="37">
        <f t="shared" si="0"/>
        <v>6.8181818181818175</v>
      </c>
      <c r="FP8" s="68" t="s">
        <v>3</v>
      </c>
      <c r="FQ8" s="78">
        <v>65</v>
      </c>
      <c r="FR8" s="39">
        <v>0</v>
      </c>
      <c r="FS8" s="39">
        <f t="shared" si="60"/>
        <v>65</v>
      </c>
      <c r="FT8" s="78">
        <v>52</v>
      </c>
      <c r="FU8" s="39">
        <v>0</v>
      </c>
      <c r="FV8" s="39">
        <f t="shared" si="61"/>
        <v>13</v>
      </c>
      <c r="FW8" s="78">
        <v>11</v>
      </c>
      <c r="FX8" s="37">
        <f t="shared" si="62"/>
        <v>80</v>
      </c>
      <c r="FY8" s="92" t="s">
        <v>180</v>
      </c>
      <c r="FZ8" s="90">
        <v>20</v>
      </c>
      <c r="GA8" s="90">
        <v>0</v>
      </c>
      <c r="GB8" s="90">
        <f t="shared" si="63"/>
        <v>20</v>
      </c>
      <c r="GC8" s="90">
        <v>1</v>
      </c>
      <c r="GD8" s="90">
        <v>0</v>
      </c>
      <c r="GE8" s="90">
        <f t="shared" si="64"/>
        <v>19</v>
      </c>
      <c r="GF8" s="90">
        <v>17</v>
      </c>
      <c r="GG8" s="91">
        <f t="shared" si="1"/>
        <v>5</v>
      </c>
      <c r="GH8" s="68" t="s">
        <v>3</v>
      </c>
      <c r="GI8" s="39">
        <v>26</v>
      </c>
      <c r="GJ8" s="39">
        <v>20</v>
      </c>
      <c r="GK8" s="39">
        <f t="shared" si="65"/>
        <v>46</v>
      </c>
      <c r="GL8" s="39">
        <v>26</v>
      </c>
      <c r="GM8" s="39">
        <v>0</v>
      </c>
      <c r="GN8" s="39">
        <f t="shared" si="66"/>
        <v>20</v>
      </c>
      <c r="GO8" s="39">
        <v>2</v>
      </c>
      <c r="GP8" s="37">
        <f t="shared" si="67"/>
        <v>56.521739130434781</v>
      </c>
      <c r="GQ8" s="68" t="s">
        <v>3</v>
      </c>
      <c r="GR8" s="64">
        <v>56</v>
      </c>
      <c r="GS8" s="64">
        <v>4</v>
      </c>
      <c r="GT8" s="64">
        <f t="shared" si="68"/>
        <v>60</v>
      </c>
      <c r="GU8" s="64">
        <v>56</v>
      </c>
      <c r="GV8" s="64">
        <v>0</v>
      </c>
      <c r="GW8" s="64">
        <f t="shared" si="69"/>
        <v>4</v>
      </c>
      <c r="GX8" s="64">
        <v>2</v>
      </c>
      <c r="GY8" s="66">
        <f t="shared" si="70"/>
        <v>93.333333333333329</v>
      </c>
      <c r="GZ8" s="68" t="s">
        <v>3</v>
      </c>
      <c r="HA8" s="64">
        <v>43</v>
      </c>
      <c r="HB8" s="64">
        <v>4</v>
      </c>
      <c r="HC8" s="64">
        <f t="shared" si="71"/>
        <v>47</v>
      </c>
      <c r="HD8" s="64">
        <v>36</v>
      </c>
      <c r="HE8" s="64">
        <v>0</v>
      </c>
      <c r="HF8" s="64">
        <f t="shared" si="72"/>
        <v>11</v>
      </c>
      <c r="HG8" s="64">
        <v>2</v>
      </c>
      <c r="HH8" s="66">
        <f t="shared" si="2"/>
        <v>76.59574468085107</v>
      </c>
      <c r="HI8" s="3" t="s">
        <v>2</v>
      </c>
      <c r="HJ8" s="3">
        <v>34</v>
      </c>
      <c r="HK8" s="3">
        <v>0</v>
      </c>
      <c r="HL8" s="3">
        <f t="shared" si="73"/>
        <v>34</v>
      </c>
      <c r="HM8" s="3">
        <v>13</v>
      </c>
      <c r="HN8" s="3">
        <v>0</v>
      </c>
      <c r="HO8" s="3">
        <f t="shared" si="74"/>
        <v>21</v>
      </c>
      <c r="HP8" s="3">
        <v>8</v>
      </c>
      <c r="HQ8" s="6">
        <f t="shared" si="3"/>
        <v>38.235294117647058</v>
      </c>
      <c r="HR8" s="3" t="s">
        <v>2</v>
      </c>
      <c r="HS8" s="3">
        <v>33</v>
      </c>
      <c r="HT8" s="3">
        <v>0</v>
      </c>
      <c r="HU8" s="3">
        <f t="shared" si="75"/>
        <v>33</v>
      </c>
      <c r="HV8" s="3">
        <v>19</v>
      </c>
      <c r="HW8" s="3">
        <v>0</v>
      </c>
      <c r="HX8" s="3">
        <f t="shared" si="76"/>
        <v>14</v>
      </c>
      <c r="HY8" s="3">
        <v>11</v>
      </c>
      <c r="HZ8" s="6">
        <f t="shared" si="77"/>
        <v>57.575757575757578</v>
      </c>
      <c r="IA8" s="65" t="s">
        <v>0</v>
      </c>
      <c r="IB8" s="5">
        <v>28</v>
      </c>
      <c r="IC8" s="5">
        <v>0</v>
      </c>
      <c r="ID8" s="3">
        <f t="shared" si="78"/>
        <v>28</v>
      </c>
      <c r="IE8" s="5">
        <v>8</v>
      </c>
      <c r="IF8" s="5">
        <v>0</v>
      </c>
      <c r="IG8" s="3">
        <f t="shared" si="79"/>
        <v>20</v>
      </c>
      <c r="IH8" s="5">
        <v>12</v>
      </c>
      <c r="II8" s="23">
        <f t="shared" si="80"/>
        <v>28.571428571428569</v>
      </c>
      <c r="IJ8" s="3" t="s">
        <v>2</v>
      </c>
      <c r="IK8" s="3">
        <v>27</v>
      </c>
      <c r="IL8" s="3">
        <v>2</v>
      </c>
      <c r="IM8" s="3">
        <f t="shared" si="81"/>
        <v>29</v>
      </c>
      <c r="IN8" s="3">
        <v>18</v>
      </c>
      <c r="IO8" s="3">
        <v>0</v>
      </c>
      <c r="IP8" s="3">
        <f t="shared" si="82"/>
        <v>11</v>
      </c>
      <c r="IQ8" s="3">
        <v>2</v>
      </c>
      <c r="IR8" s="6">
        <f t="shared" si="83"/>
        <v>62.068965517241381</v>
      </c>
      <c r="IS8" s="3" t="s">
        <v>2</v>
      </c>
      <c r="IT8" s="3">
        <v>20</v>
      </c>
      <c r="IU8" s="3">
        <v>3</v>
      </c>
      <c r="IV8" s="3">
        <f t="shared" si="84"/>
        <v>23</v>
      </c>
      <c r="IW8" s="3">
        <v>14</v>
      </c>
      <c r="IX8" s="3">
        <v>0</v>
      </c>
      <c r="IY8" s="3">
        <f t="shared" si="85"/>
        <v>9</v>
      </c>
      <c r="IZ8" s="3">
        <v>1</v>
      </c>
      <c r="JA8" s="6">
        <f t="shared" si="86"/>
        <v>60.869565217391312</v>
      </c>
      <c r="JB8" s="65" t="s">
        <v>0</v>
      </c>
      <c r="JC8" s="5">
        <v>33</v>
      </c>
      <c r="JD8" s="5">
        <v>0</v>
      </c>
      <c r="JE8" s="5">
        <f t="shared" si="87"/>
        <v>33</v>
      </c>
      <c r="JF8" s="5">
        <v>18</v>
      </c>
      <c r="JG8" s="5">
        <v>0</v>
      </c>
      <c r="JH8" s="5">
        <f t="shared" si="88"/>
        <v>15</v>
      </c>
      <c r="JI8" s="5">
        <v>2</v>
      </c>
      <c r="JJ8" s="23">
        <f t="shared" si="89"/>
        <v>54.54545454545454</v>
      </c>
    </row>
    <row r="9" spans="1:270" x14ac:dyDescent="0.2">
      <c r="A9" s="1" t="s">
        <v>2</v>
      </c>
      <c r="B9" s="71">
        <v>32</v>
      </c>
      <c r="C9" s="72">
        <v>0</v>
      </c>
      <c r="D9" s="72">
        <f t="shared" si="4"/>
        <v>32</v>
      </c>
      <c r="E9" s="72">
        <v>5</v>
      </c>
      <c r="F9" s="72">
        <v>0</v>
      </c>
      <c r="G9" s="72">
        <f t="shared" si="5"/>
        <v>27</v>
      </c>
      <c r="H9" s="72">
        <v>10</v>
      </c>
      <c r="I9" s="27">
        <f t="shared" si="6"/>
        <v>15.625</v>
      </c>
      <c r="J9" s="1" t="s">
        <v>2</v>
      </c>
      <c r="K9" s="10">
        <v>29</v>
      </c>
      <c r="L9" s="10">
        <v>0</v>
      </c>
      <c r="M9" s="10">
        <f t="shared" si="7"/>
        <v>29</v>
      </c>
      <c r="N9" s="10">
        <v>8</v>
      </c>
      <c r="O9" s="10">
        <v>0</v>
      </c>
      <c r="P9" s="74">
        <f t="shared" si="8"/>
        <v>21</v>
      </c>
      <c r="Q9" s="74">
        <v>4</v>
      </c>
      <c r="R9" s="28">
        <f t="shared" si="9"/>
        <v>27.586206896551722</v>
      </c>
      <c r="S9" s="1" t="s">
        <v>2</v>
      </c>
      <c r="T9" s="10">
        <v>27</v>
      </c>
      <c r="U9" s="10">
        <v>0</v>
      </c>
      <c r="V9" s="10">
        <f t="shared" si="10"/>
        <v>27</v>
      </c>
      <c r="W9" s="10">
        <v>10</v>
      </c>
      <c r="X9" s="10">
        <v>0</v>
      </c>
      <c r="Y9" s="74">
        <f t="shared" si="11"/>
        <v>17</v>
      </c>
      <c r="Z9" s="10">
        <v>5</v>
      </c>
      <c r="AA9" s="28">
        <f t="shared" si="12"/>
        <v>37.037037037037038</v>
      </c>
      <c r="AB9" s="1" t="s">
        <v>0</v>
      </c>
      <c r="AC9" s="5">
        <v>20</v>
      </c>
      <c r="AD9" s="5">
        <v>11</v>
      </c>
      <c r="AE9" s="76">
        <f t="shared" si="13"/>
        <v>31</v>
      </c>
      <c r="AF9" s="5">
        <v>18</v>
      </c>
      <c r="AG9" s="5">
        <v>0</v>
      </c>
      <c r="AH9" s="76">
        <f t="shared" si="14"/>
        <v>13</v>
      </c>
      <c r="AI9" s="5">
        <v>1</v>
      </c>
      <c r="AJ9" s="13">
        <f t="shared" si="15"/>
        <v>58.064516129032263</v>
      </c>
      <c r="AK9" s="1" t="s">
        <v>0</v>
      </c>
      <c r="AL9" s="5">
        <v>26</v>
      </c>
      <c r="AM9" s="5">
        <v>8</v>
      </c>
      <c r="AN9" s="5">
        <f t="shared" si="16"/>
        <v>34</v>
      </c>
      <c r="AO9" s="5">
        <v>25</v>
      </c>
      <c r="AP9" s="5">
        <v>0</v>
      </c>
      <c r="AQ9" s="5">
        <f t="shared" si="17"/>
        <v>9</v>
      </c>
      <c r="AR9" s="5">
        <v>2</v>
      </c>
      <c r="AS9" s="9">
        <f t="shared" si="18"/>
        <v>73.529411764705884</v>
      </c>
      <c r="AT9" t="s">
        <v>2</v>
      </c>
      <c r="AU9" s="3">
        <v>26</v>
      </c>
      <c r="AV9" s="3">
        <v>7</v>
      </c>
      <c r="AW9" s="5">
        <f t="shared" si="19"/>
        <v>33</v>
      </c>
      <c r="AX9" s="3">
        <v>24</v>
      </c>
      <c r="AY9" s="3">
        <v>0</v>
      </c>
      <c r="AZ9" s="5">
        <f t="shared" si="20"/>
        <v>9</v>
      </c>
      <c r="BA9" s="3">
        <v>1</v>
      </c>
      <c r="BB9" s="4">
        <f t="shared" si="21"/>
        <v>72.727272727272734</v>
      </c>
      <c r="BC9" s="1" t="s">
        <v>0</v>
      </c>
      <c r="BD9" s="5">
        <v>53</v>
      </c>
      <c r="BE9" s="5">
        <v>0</v>
      </c>
      <c r="BF9" s="5">
        <f t="shared" si="22"/>
        <v>53</v>
      </c>
      <c r="BG9" s="5">
        <v>7</v>
      </c>
      <c r="BH9" s="5">
        <v>0</v>
      </c>
      <c r="BI9" s="5">
        <f t="shared" si="23"/>
        <v>46</v>
      </c>
      <c r="BJ9" s="5">
        <v>0</v>
      </c>
      <c r="BK9" s="9">
        <f t="shared" si="24"/>
        <v>13.20754716981132</v>
      </c>
      <c r="BL9" s="1" t="s">
        <v>0</v>
      </c>
      <c r="BM9" s="5">
        <v>26</v>
      </c>
      <c r="BN9" s="5">
        <v>0</v>
      </c>
      <c r="BO9" s="5">
        <f t="shared" si="25"/>
        <v>26</v>
      </c>
      <c r="BP9" s="5">
        <v>0</v>
      </c>
      <c r="BQ9" s="5">
        <v>0</v>
      </c>
      <c r="BR9" s="5">
        <f t="shared" si="26"/>
        <v>26</v>
      </c>
      <c r="BS9" s="5">
        <v>0</v>
      </c>
      <c r="BT9" s="18">
        <f t="shared" si="27"/>
        <v>0</v>
      </c>
      <c r="BU9" s="1" t="s">
        <v>0</v>
      </c>
      <c r="BV9" s="5">
        <v>25</v>
      </c>
      <c r="BW9" s="5">
        <v>0</v>
      </c>
      <c r="BX9" s="5">
        <f t="shared" si="28"/>
        <v>25</v>
      </c>
      <c r="BY9" s="5">
        <v>3</v>
      </c>
      <c r="BZ9" s="5">
        <v>0</v>
      </c>
      <c r="CA9" s="5">
        <f t="shared" si="29"/>
        <v>22</v>
      </c>
      <c r="CB9" s="5">
        <v>1</v>
      </c>
      <c r="CC9" s="9">
        <f t="shared" si="30"/>
        <v>12</v>
      </c>
      <c r="CD9" s="9" t="s">
        <v>3</v>
      </c>
      <c r="CE9" s="76">
        <v>18</v>
      </c>
      <c r="CF9" s="76">
        <v>13</v>
      </c>
      <c r="CG9" s="76">
        <f t="shared" si="31"/>
        <v>31</v>
      </c>
      <c r="CH9" s="76">
        <v>11</v>
      </c>
      <c r="CI9" s="76">
        <v>0</v>
      </c>
      <c r="CJ9" s="76">
        <f t="shared" si="32"/>
        <v>20</v>
      </c>
      <c r="CK9" s="76">
        <v>0</v>
      </c>
      <c r="CL9" s="23">
        <f t="shared" si="33"/>
        <v>35.483870967741936</v>
      </c>
      <c r="CM9" s="9" t="s">
        <v>3</v>
      </c>
      <c r="CN9" s="76">
        <v>25</v>
      </c>
      <c r="CO9" s="76">
        <v>2</v>
      </c>
      <c r="CP9" s="76">
        <f t="shared" si="34"/>
        <v>27</v>
      </c>
      <c r="CQ9" s="76">
        <v>19</v>
      </c>
      <c r="CR9" s="76">
        <v>0</v>
      </c>
      <c r="CS9" s="76">
        <f t="shared" si="35"/>
        <v>8</v>
      </c>
      <c r="CT9" s="76">
        <v>4</v>
      </c>
      <c r="CU9" s="9">
        <f t="shared" si="36"/>
        <v>70.370370370370367</v>
      </c>
      <c r="CV9" s="9" t="s">
        <v>3</v>
      </c>
      <c r="CW9" s="76">
        <v>34</v>
      </c>
      <c r="CX9" s="76">
        <v>21</v>
      </c>
      <c r="CY9" s="76">
        <f t="shared" si="37"/>
        <v>55</v>
      </c>
      <c r="CZ9" s="76">
        <v>26</v>
      </c>
      <c r="DA9" s="76">
        <v>0</v>
      </c>
      <c r="DB9" s="76">
        <f t="shared" si="38"/>
        <v>29</v>
      </c>
      <c r="DC9" s="76">
        <v>0</v>
      </c>
      <c r="DD9" s="23">
        <f t="shared" si="39"/>
        <v>47.272727272727273</v>
      </c>
      <c r="DE9" s="69" t="s">
        <v>0</v>
      </c>
      <c r="DF9" s="55">
        <v>12</v>
      </c>
      <c r="DG9" s="55">
        <v>0</v>
      </c>
      <c r="DH9" s="55">
        <f t="shared" si="40"/>
        <v>12</v>
      </c>
      <c r="DI9" s="55">
        <v>2</v>
      </c>
      <c r="DJ9" s="55">
        <v>0</v>
      </c>
      <c r="DK9" s="55">
        <f t="shared" si="41"/>
        <v>10</v>
      </c>
      <c r="DL9" s="55">
        <v>9</v>
      </c>
      <c r="DM9" s="36">
        <f t="shared" si="42"/>
        <v>16.666666666666664</v>
      </c>
      <c r="DN9" s="1" t="s">
        <v>0</v>
      </c>
      <c r="DO9">
        <v>20</v>
      </c>
      <c r="DP9">
        <v>0</v>
      </c>
      <c r="DQ9">
        <f t="shared" si="43"/>
        <v>20</v>
      </c>
      <c r="DR9">
        <v>1</v>
      </c>
      <c r="DS9">
        <v>0</v>
      </c>
      <c r="DT9">
        <f t="shared" si="44"/>
        <v>19</v>
      </c>
      <c r="DU9">
        <v>11</v>
      </c>
      <c r="DV9" s="11">
        <f t="shared" si="45"/>
        <v>5</v>
      </c>
      <c r="DW9" s="2" t="s">
        <v>1</v>
      </c>
      <c r="DX9" s="3">
        <v>5</v>
      </c>
      <c r="DY9" s="3">
        <v>0</v>
      </c>
      <c r="DZ9" s="55">
        <f t="shared" si="46"/>
        <v>5</v>
      </c>
      <c r="EA9" s="3">
        <v>4</v>
      </c>
      <c r="EB9" s="3">
        <v>0</v>
      </c>
      <c r="EC9" s="55">
        <f t="shared" si="47"/>
        <v>1</v>
      </c>
      <c r="ED9" s="3">
        <v>0</v>
      </c>
      <c r="EE9" s="4">
        <f t="shared" si="48"/>
        <v>80</v>
      </c>
      <c r="EF9" s="69" t="s">
        <v>0</v>
      </c>
      <c r="EG9" s="34">
        <v>14</v>
      </c>
      <c r="EH9" s="34">
        <v>3</v>
      </c>
      <c r="EI9" s="34">
        <f t="shared" si="49"/>
        <v>17</v>
      </c>
      <c r="EJ9" s="34">
        <v>14</v>
      </c>
      <c r="EK9" s="34">
        <v>0</v>
      </c>
      <c r="EL9" s="34">
        <f t="shared" si="50"/>
        <v>3</v>
      </c>
      <c r="EM9" s="34">
        <v>3</v>
      </c>
      <c r="EN9" s="36">
        <f t="shared" si="51"/>
        <v>82.35294117647058</v>
      </c>
      <c r="EO9" s="69" t="s">
        <v>0</v>
      </c>
      <c r="EP9" s="34">
        <v>11</v>
      </c>
      <c r="EQ9" s="34">
        <v>0</v>
      </c>
      <c r="ER9" s="34">
        <f t="shared" si="52"/>
        <v>11</v>
      </c>
      <c r="ES9" s="34">
        <v>9</v>
      </c>
      <c r="ET9" s="34">
        <v>0</v>
      </c>
      <c r="EU9" s="34">
        <f t="shared" si="53"/>
        <v>2</v>
      </c>
      <c r="EV9" s="34">
        <v>3</v>
      </c>
      <c r="EW9" s="36">
        <f t="shared" si="54"/>
        <v>81.818181818181827</v>
      </c>
      <c r="EX9" s="69" t="s">
        <v>0</v>
      </c>
      <c r="EY9" s="56">
        <v>8</v>
      </c>
      <c r="EZ9" s="56">
        <v>4</v>
      </c>
      <c r="FA9" s="56">
        <f t="shared" si="55"/>
        <v>12</v>
      </c>
      <c r="FB9" s="34">
        <v>5</v>
      </c>
      <c r="FC9" s="34">
        <v>0</v>
      </c>
      <c r="FD9" s="56">
        <f t="shared" si="56"/>
        <v>7</v>
      </c>
      <c r="FE9" s="34">
        <v>0</v>
      </c>
      <c r="FF9" s="57">
        <f t="shared" si="57"/>
        <v>41.666666666666671</v>
      </c>
      <c r="FG9" s="68" t="s">
        <v>3</v>
      </c>
      <c r="FH9" s="39">
        <v>38</v>
      </c>
      <c r="FI9" s="39">
        <v>0</v>
      </c>
      <c r="FJ9" s="7">
        <f t="shared" si="58"/>
        <v>38</v>
      </c>
      <c r="FK9" s="39">
        <v>2</v>
      </c>
      <c r="FL9" s="39">
        <v>0</v>
      </c>
      <c r="FM9" s="7">
        <f t="shared" si="59"/>
        <v>36</v>
      </c>
      <c r="FN9" s="39">
        <v>15</v>
      </c>
      <c r="FO9" s="37">
        <f t="shared" si="0"/>
        <v>5.2631578947368416</v>
      </c>
      <c r="FP9" s="68" t="s">
        <v>3</v>
      </c>
      <c r="FQ9" s="78">
        <v>55</v>
      </c>
      <c r="FR9" s="39">
        <v>0</v>
      </c>
      <c r="FS9" s="39">
        <f t="shared" si="60"/>
        <v>55</v>
      </c>
      <c r="FT9" s="78">
        <v>39</v>
      </c>
      <c r="FU9" s="39">
        <v>0</v>
      </c>
      <c r="FV9" s="39">
        <f t="shared" si="61"/>
        <v>16</v>
      </c>
      <c r="FW9" s="78">
        <v>14</v>
      </c>
      <c r="FX9" s="37">
        <f t="shared" si="62"/>
        <v>70.909090909090907</v>
      </c>
      <c r="FY9" s="92" t="s">
        <v>180</v>
      </c>
      <c r="FZ9" s="90">
        <v>46</v>
      </c>
      <c r="GA9" s="90">
        <v>0</v>
      </c>
      <c r="GB9" s="90">
        <f t="shared" si="63"/>
        <v>46</v>
      </c>
      <c r="GC9" s="90">
        <v>3</v>
      </c>
      <c r="GD9" s="90">
        <v>0</v>
      </c>
      <c r="GE9" s="90">
        <f t="shared" si="64"/>
        <v>43</v>
      </c>
      <c r="GF9" s="90">
        <v>20</v>
      </c>
      <c r="GG9" s="91">
        <f t="shared" si="1"/>
        <v>6.5217391304347823</v>
      </c>
      <c r="GH9" s="68" t="s">
        <v>3</v>
      </c>
      <c r="GI9" s="39">
        <v>30</v>
      </c>
      <c r="GJ9" s="39">
        <v>15</v>
      </c>
      <c r="GK9" s="39">
        <f t="shared" si="65"/>
        <v>45</v>
      </c>
      <c r="GL9" s="39">
        <v>24</v>
      </c>
      <c r="GM9" s="39">
        <v>0</v>
      </c>
      <c r="GN9" s="39">
        <f t="shared" si="66"/>
        <v>21</v>
      </c>
      <c r="GO9" s="39">
        <v>3</v>
      </c>
      <c r="GP9" s="37">
        <f t="shared" si="67"/>
        <v>53.333333333333336</v>
      </c>
      <c r="GQ9" s="68" t="s">
        <v>3</v>
      </c>
      <c r="GR9" s="64">
        <v>57</v>
      </c>
      <c r="GS9" s="64">
        <v>8</v>
      </c>
      <c r="GT9" s="64">
        <f t="shared" si="68"/>
        <v>65</v>
      </c>
      <c r="GU9" s="64">
        <v>53</v>
      </c>
      <c r="GV9" s="64">
        <v>0</v>
      </c>
      <c r="GW9" s="64">
        <f t="shared" si="69"/>
        <v>12</v>
      </c>
      <c r="GX9" s="64">
        <v>4</v>
      </c>
      <c r="GY9" s="66">
        <f t="shared" si="70"/>
        <v>81.538461538461533</v>
      </c>
      <c r="GZ9" s="68" t="s">
        <v>3</v>
      </c>
      <c r="HA9" s="64">
        <v>16</v>
      </c>
      <c r="HB9" s="64">
        <v>1</v>
      </c>
      <c r="HC9" s="64">
        <f t="shared" si="71"/>
        <v>17</v>
      </c>
      <c r="HD9" s="64">
        <v>10</v>
      </c>
      <c r="HE9" s="64">
        <v>0</v>
      </c>
      <c r="HF9" s="64">
        <f t="shared" si="72"/>
        <v>7</v>
      </c>
      <c r="HG9" s="64">
        <v>1</v>
      </c>
      <c r="HH9" s="66">
        <f t="shared" si="2"/>
        <v>58.82352941176471</v>
      </c>
      <c r="HI9" s="3" t="s">
        <v>2</v>
      </c>
      <c r="HJ9" s="3">
        <v>44</v>
      </c>
      <c r="HK9" s="3">
        <v>0</v>
      </c>
      <c r="HL9" s="3">
        <f t="shared" si="73"/>
        <v>44</v>
      </c>
      <c r="HM9" s="2">
        <v>18</v>
      </c>
      <c r="HN9" s="3">
        <v>0</v>
      </c>
      <c r="HO9" s="3">
        <f t="shared" si="74"/>
        <v>26</v>
      </c>
      <c r="HP9" s="3">
        <v>10</v>
      </c>
      <c r="HQ9" s="6">
        <f t="shared" si="3"/>
        <v>40.909090909090914</v>
      </c>
      <c r="HR9" s="3" t="s">
        <v>2</v>
      </c>
      <c r="HS9" s="3">
        <v>25</v>
      </c>
      <c r="HT9" s="3">
        <v>0</v>
      </c>
      <c r="HU9" s="3">
        <f t="shared" si="75"/>
        <v>25</v>
      </c>
      <c r="HV9" s="3">
        <v>10</v>
      </c>
      <c r="HW9" s="3">
        <v>0</v>
      </c>
      <c r="HX9" s="3">
        <f t="shared" si="76"/>
        <v>15</v>
      </c>
      <c r="HY9" s="3">
        <v>7</v>
      </c>
      <c r="HZ9" s="6">
        <f t="shared" si="77"/>
        <v>40</v>
      </c>
      <c r="IA9" s="65" t="s">
        <v>0</v>
      </c>
      <c r="IB9" s="5">
        <v>22</v>
      </c>
      <c r="IC9" s="5">
        <v>0</v>
      </c>
      <c r="ID9" s="3">
        <f t="shared" si="78"/>
        <v>22</v>
      </c>
      <c r="IE9" s="5">
        <v>11</v>
      </c>
      <c r="IF9" s="5">
        <v>0</v>
      </c>
      <c r="IG9" s="3">
        <f t="shared" si="79"/>
        <v>11</v>
      </c>
      <c r="IH9" s="5">
        <v>4</v>
      </c>
      <c r="II9" s="23">
        <f t="shared" si="80"/>
        <v>50</v>
      </c>
      <c r="IJ9" s="3" t="s">
        <v>2</v>
      </c>
      <c r="IK9" s="3">
        <v>32</v>
      </c>
      <c r="IL9" s="3">
        <v>4</v>
      </c>
      <c r="IM9" s="3">
        <f t="shared" si="81"/>
        <v>36</v>
      </c>
      <c r="IN9" s="3">
        <v>18</v>
      </c>
      <c r="IO9" s="3">
        <v>0</v>
      </c>
      <c r="IP9" s="3">
        <f t="shared" si="82"/>
        <v>18</v>
      </c>
      <c r="IQ9" s="3">
        <v>2</v>
      </c>
      <c r="IR9" s="6">
        <f t="shared" si="83"/>
        <v>50</v>
      </c>
      <c r="IS9" s="3" t="s">
        <v>2</v>
      </c>
      <c r="IT9" s="3">
        <v>28</v>
      </c>
      <c r="IU9" s="3">
        <v>2</v>
      </c>
      <c r="IV9" s="3">
        <f t="shared" si="84"/>
        <v>30</v>
      </c>
      <c r="IW9" s="3">
        <v>21</v>
      </c>
      <c r="IX9" s="3">
        <v>0</v>
      </c>
      <c r="IY9" s="3">
        <f t="shared" si="85"/>
        <v>9</v>
      </c>
      <c r="IZ9" s="3">
        <v>3</v>
      </c>
      <c r="JA9" s="6">
        <f t="shared" si="86"/>
        <v>70</v>
      </c>
      <c r="JB9" s="65" t="s">
        <v>0</v>
      </c>
      <c r="JC9" s="5">
        <v>26</v>
      </c>
      <c r="JD9" s="5">
        <v>1</v>
      </c>
      <c r="JE9" s="5">
        <f t="shared" si="87"/>
        <v>27</v>
      </c>
      <c r="JF9" s="5">
        <v>13</v>
      </c>
      <c r="JG9" s="5">
        <v>0</v>
      </c>
      <c r="JH9" s="5">
        <f t="shared" si="88"/>
        <v>14</v>
      </c>
      <c r="JI9" s="5">
        <v>2</v>
      </c>
      <c r="JJ9" s="23">
        <f t="shared" si="89"/>
        <v>48.148148148148145</v>
      </c>
    </row>
    <row r="10" spans="1:270" x14ac:dyDescent="0.2">
      <c r="A10" s="1" t="s">
        <v>2</v>
      </c>
      <c r="B10" s="71">
        <v>43</v>
      </c>
      <c r="C10" s="72">
        <v>0</v>
      </c>
      <c r="D10" s="72">
        <f t="shared" si="4"/>
        <v>43</v>
      </c>
      <c r="E10" s="72">
        <v>8</v>
      </c>
      <c r="F10" s="72">
        <v>0</v>
      </c>
      <c r="G10" s="72">
        <f t="shared" si="5"/>
        <v>35</v>
      </c>
      <c r="H10" s="72">
        <v>15</v>
      </c>
      <c r="I10" s="27">
        <f t="shared" si="6"/>
        <v>18.604651162790699</v>
      </c>
      <c r="J10" s="1" t="s">
        <v>2</v>
      </c>
      <c r="K10" s="10">
        <v>34</v>
      </c>
      <c r="L10" s="10">
        <v>0</v>
      </c>
      <c r="M10" s="10">
        <f t="shared" si="7"/>
        <v>34</v>
      </c>
      <c r="N10" s="10">
        <v>5</v>
      </c>
      <c r="O10" s="10">
        <v>0</v>
      </c>
      <c r="P10" s="74">
        <f t="shared" si="8"/>
        <v>29</v>
      </c>
      <c r="Q10" s="74">
        <v>4</v>
      </c>
      <c r="R10" s="28">
        <f t="shared" si="9"/>
        <v>14.705882352941178</v>
      </c>
      <c r="S10" s="1" t="s">
        <v>2</v>
      </c>
      <c r="T10" s="10">
        <v>32</v>
      </c>
      <c r="U10" s="10">
        <v>0</v>
      </c>
      <c r="V10" s="10">
        <f t="shared" si="10"/>
        <v>32</v>
      </c>
      <c r="W10" s="10">
        <v>12</v>
      </c>
      <c r="X10" s="10">
        <v>0</v>
      </c>
      <c r="Y10" s="74">
        <f t="shared" si="11"/>
        <v>20</v>
      </c>
      <c r="Z10" s="10">
        <v>3</v>
      </c>
      <c r="AA10" s="28">
        <f t="shared" si="12"/>
        <v>37.5</v>
      </c>
      <c r="AB10" s="1" t="s">
        <v>0</v>
      </c>
      <c r="AC10" s="5">
        <v>14</v>
      </c>
      <c r="AD10" s="5">
        <v>6</v>
      </c>
      <c r="AE10" s="76">
        <f t="shared" si="13"/>
        <v>20</v>
      </c>
      <c r="AF10" s="5">
        <v>13</v>
      </c>
      <c r="AG10" s="5">
        <v>0</v>
      </c>
      <c r="AH10" s="76">
        <f t="shared" si="14"/>
        <v>7</v>
      </c>
      <c r="AI10" s="5">
        <v>2</v>
      </c>
      <c r="AJ10" s="13">
        <f t="shared" si="15"/>
        <v>65</v>
      </c>
      <c r="AK10" s="1" t="s">
        <v>0</v>
      </c>
      <c r="AL10" s="5">
        <v>29</v>
      </c>
      <c r="AM10" s="5">
        <v>4</v>
      </c>
      <c r="AN10" s="5">
        <f t="shared" si="16"/>
        <v>33</v>
      </c>
      <c r="AO10" s="5">
        <v>20</v>
      </c>
      <c r="AP10" s="5">
        <v>0</v>
      </c>
      <c r="AQ10" s="5">
        <f t="shared" si="17"/>
        <v>13</v>
      </c>
      <c r="AR10" s="5">
        <v>0</v>
      </c>
      <c r="AS10" s="9">
        <f t="shared" si="18"/>
        <v>60.606060606060609</v>
      </c>
      <c r="AT10" t="s">
        <v>75</v>
      </c>
      <c r="AU10" s="7">
        <v>19</v>
      </c>
      <c r="AV10" s="7">
        <v>4</v>
      </c>
      <c r="AW10" s="5">
        <f t="shared" si="19"/>
        <v>23</v>
      </c>
      <c r="AX10" s="7">
        <v>12</v>
      </c>
      <c r="AY10" s="7">
        <v>1</v>
      </c>
      <c r="AZ10" s="5">
        <f t="shared" si="20"/>
        <v>11</v>
      </c>
      <c r="BA10" s="7">
        <v>4</v>
      </c>
      <c r="BB10" s="8">
        <f t="shared" si="21"/>
        <v>52.173913043478258</v>
      </c>
      <c r="BC10" s="1" t="s">
        <v>0</v>
      </c>
      <c r="BD10" s="5">
        <v>38</v>
      </c>
      <c r="BE10" s="5">
        <v>0</v>
      </c>
      <c r="BF10" s="5">
        <f t="shared" si="22"/>
        <v>38</v>
      </c>
      <c r="BG10" s="5">
        <v>0</v>
      </c>
      <c r="BH10" s="5">
        <v>0</v>
      </c>
      <c r="BI10" s="5">
        <f t="shared" si="23"/>
        <v>38</v>
      </c>
      <c r="BJ10" s="5">
        <v>0</v>
      </c>
      <c r="BK10" s="9">
        <f t="shared" si="24"/>
        <v>0</v>
      </c>
      <c r="BL10" s="1" t="s">
        <v>0</v>
      </c>
      <c r="BM10" s="5">
        <v>31</v>
      </c>
      <c r="BN10" s="5">
        <v>0</v>
      </c>
      <c r="BO10" s="5">
        <f t="shared" si="25"/>
        <v>31</v>
      </c>
      <c r="BP10" s="5">
        <v>1</v>
      </c>
      <c r="BQ10" s="5">
        <v>0</v>
      </c>
      <c r="BR10" s="5">
        <f t="shared" si="26"/>
        <v>30</v>
      </c>
      <c r="BS10" s="5">
        <v>0</v>
      </c>
      <c r="BT10" s="18">
        <f t="shared" si="27"/>
        <v>3.225806451612903</v>
      </c>
      <c r="BU10" s="1" t="s">
        <v>0</v>
      </c>
      <c r="BV10" s="5">
        <v>34</v>
      </c>
      <c r="BW10" s="5">
        <v>0</v>
      </c>
      <c r="BX10" s="5">
        <f t="shared" si="28"/>
        <v>34</v>
      </c>
      <c r="BY10" s="5">
        <v>12</v>
      </c>
      <c r="BZ10" s="5">
        <v>0</v>
      </c>
      <c r="CA10" s="5">
        <f t="shared" si="29"/>
        <v>22</v>
      </c>
      <c r="CB10" s="5">
        <v>0</v>
      </c>
      <c r="CC10" s="9">
        <f t="shared" si="30"/>
        <v>35.294117647058826</v>
      </c>
      <c r="CD10" s="9" t="s">
        <v>3</v>
      </c>
      <c r="CE10" s="76">
        <v>29</v>
      </c>
      <c r="CF10" s="76">
        <v>10</v>
      </c>
      <c r="CG10" s="76">
        <f t="shared" si="31"/>
        <v>39</v>
      </c>
      <c r="CH10" s="76">
        <v>14</v>
      </c>
      <c r="CI10" s="76">
        <v>0</v>
      </c>
      <c r="CJ10" s="76">
        <f t="shared" si="32"/>
        <v>25</v>
      </c>
      <c r="CK10" s="76">
        <v>0</v>
      </c>
      <c r="CL10" s="23">
        <f t="shared" si="33"/>
        <v>35.897435897435898</v>
      </c>
      <c r="CM10" s="9" t="s">
        <v>3</v>
      </c>
      <c r="CN10" s="76">
        <v>51</v>
      </c>
      <c r="CO10" s="76">
        <v>1</v>
      </c>
      <c r="CP10" s="76">
        <f t="shared" si="34"/>
        <v>52</v>
      </c>
      <c r="CQ10" s="76">
        <v>26</v>
      </c>
      <c r="CR10" s="76">
        <v>0</v>
      </c>
      <c r="CS10" s="76">
        <f t="shared" si="35"/>
        <v>26</v>
      </c>
      <c r="CT10" s="76">
        <v>0</v>
      </c>
      <c r="CU10" s="9">
        <f t="shared" si="36"/>
        <v>50</v>
      </c>
      <c r="CV10" s="9" t="s">
        <v>3</v>
      </c>
      <c r="CW10" s="76">
        <v>39</v>
      </c>
      <c r="CX10" s="76">
        <v>28</v>
      </c>
      <c r="CY10" s="76">
        <f t="shared" si="37"/>
        <v>67</v>
      </c>
      <c r="CZ10" s="76">
        <v>25</v>
      </c>
      <c r="DA10" s="76">
        <v>0</v>
      </c>
      <c r="DB10" s="76">
        <f t="shared" si="38"/>
        <v>42</v>
      </c>
      <c r="DC10" s="76">
        <v>0</v>
      </c>
      <c r="DD10" s="23">
        <f t="shared" si="39"/>
        <v>37.313432835820898</v>
      </c>
      <c r="DE10" s="69" t="s">
        <v>0</v>
      </c>
      <c r="DF10" s="55">
        <v>12</v>
      </c>
      <c r="DG10" s="55">
        <v>0</v>
      </c>
      <c r="DH10" s="55">
        <f t="shared" si="40"/>
        <v>12</v>
      </c>
      <c r="DI10" s="55">
        <v>1</v>
      </c>
      <c r="DJ10" s="55">
        <v>0</v>
      </c>
      <c r="DK10" s="55">
        <f t="shared" si="41"/>
        <v>11</v>
      </c>
      <c r="DL10" s="55">
        <v>11</v>
      </c>
      <c r="DM10" s="36">
        <f t="shared" si="42"/>
        <v>8.3333333333333321</v>
      </c>
      <c r="DN10" s="1" t="s">
        <v>0</v>
      </c>
      <c r="DO10">
        <v>14</v>
      </c>
      <c r="DP10">
        <v>0</v>
      </c>
      <c r="DQ10">
        <f t="shared" si="43"/>
        <v>14</v>
      </c>
      <c r="DR10">
        <v>1</v>
      </c>
      <c r="DS10">
        <v>0</v>
      </c>
      <c r="DT10">
        <f t="shared" si="44"/>
        <v>13</v>
      </c>
      <c r="DU10">
        <v>6</v>
      </c>
      <c r="DV10" s="11">
        <f t="shared" si="45"/>
        <v>7.1428571428571423</v>
      </c>
      <c r="DW10" s="2" t="s">
        <v>1</v>
      </c>
      <c r="DX10" s="3">
        <v>5</v>
      </c>
      <c r="DY10" s="3">
        <v>0</v>
      </c>
      <c r="DZ10" s="55">
        <f t="shared" si="46"/>
        <v>5</v>
      </c>
      <c r="EA10" s="3">
        <v>4</v>
      </c>
      <c r="EB10" s="3">
        <v>0</v>
      </c>
      <c r="EC10" s="55">
        <f t="shared" si="47"/>
        <v>1</v>
      </c>
      <c r="ED10" s="3">
        <v>1</v>
      </c>
      <c r="EE10" s="4">
        <f t="shared" si="48"/>
        <v>80</v>
      </c>
      <c r="EF10" s="69" t="s">
        <v>0</v>
      </c>
      <c r="EG10" s="34">
        <v>14</v>
      </c>
      <c r="EH10" s="34">
        <v>4</v>
      </c>
      <c r="EI10" s="34">
        <f t="shared" si="49"/>
        <v>18</v>
      </c>
      <c r="EJ10" s="34">
        <v>11</v>
      </c>
      <c r="EK10" s="34">
        <v>0</v>
      </c>
      <c r="EL10" s="34">
        <f t="shared" si="50"/>
        <v>7</v>
      </c>
      <c r="EM10" s="34">
        <v>0</v>
      </c>
      <c r="EN10" s="36">
        <f t="shared" si="51"/>
        <v>61.111111111111114</v>
      </c>
      <c r="EO10" s="69" t="s">
        <v>0</v>
      </c>
      <c r="EP10" s="34">
        <v>8</v>
      </c>
      <c r="EQ10" s="34">
        <v>1</v>
      </c>
      <c r="ER10" s="34">
        <f t="shared" si="52"/>
        <v>9</v>
      </c>
      <c r="ES10" s="34">
        <v>4</v>
      </c>
      <c r="ET10" s="34">
        <v>0</v>
      </c>
      <c r="EU10" s="34">
        <f t="shared" si="53"/>
        <v>5</v>
      </c>
      <c r="EV10" s="34">
        <v>1</v>
      </c>
      <c r="EW10" s="36">
        <f t="shared" si="54"/>
        <v>44.444444444444443</v>
      </c>
      <c r="EX10" s="69" t="s">
        <v>0</v>
      </c>
      <c r="EY10" s="56">
        <v>23</v>
      </c>
      <c r="EZ10" s="56">
        <v>1</v>
      </c>
      <c r="FA10" s="56">
        <f t="shared" si="55"/>
        <v>24</v>
      </c>
      <c r="FB10" s="34">
        <v>18</v>
      </c>
      <c r="FC10" s="34">
        <v>0</v>
      </c>
      <c r="FD10" s="56">
        <f t="shared" si="56"/>
        <v>6</v>
      </c>
      <c r="FE10" s="34">
        <v>1</v>
      </c>
      <c r="FF10" s="57">
        <f t="shared" si="57"/>
        <v>75</v>
      </c>
      <c r="FG10" s="68" t="s">
        <v>3</v>
      </c>
      <c r="FH10" s="39">
        <v>25</v>
      </c>
      <c r="FI10" s="39">
        <v>0</v>
      </c>
      <c r="FJ10" s="7">
        <f t="shared" si="58"/>
        <v>25</v>
      </c>
      <c r="FK10" s="39">
        <v>1</v>
      </c>
      <c r="FL10" s="39">
        <v>0</v>
      </c>
      <c r="FM10" s="7">
        <f t="shared" si="59"/>
        <v>24</v>
      </c>
      <c r="FN10" s="39">
        <v>17</v>
      </c>
      <c r="FO10" s="37">
        <f t="shared" si="0"/>
        <v>4</v>
      </c>
      <c r="FP10" s="68" t="s">
        <v>3</v>
      </c>
      <c r="FQ10" s="78">
        <v>63</v>
      </c>
      <c r="FR10" s="39">
        <v>0</v>
      </c>
      <c r="FS10" s="39">
        <f t="shared" si="60"/>
        <v>63</v>
      </c>
      <c r="FT10" s="78">
        <v>40</v>
      </c>
      <c r="FU10" s="39">
        <v>0</v>
      </c>
      <c r="FV10" s="39">
        <f t="shared" si="61"/>
        <v>23</v>
      </c>
      <c r="FW10" s="78">
        <v>17</v>
      </c>
      <c r="FX10" s="37">
        <f t="shared" si="62"/>
        <v>63.492063492063487</v>
      </c>
      <c r="FY10" s="92" t="s">
        <v>180</v>
      </c>
      <c r="FZ10" s="90">
        <v>21</v>
      </c>
      <c r="GA10" s="90">
        <v>0</v>
      </c>
      <c r="GB10" s="90">
        <f t="shared" si="63"/>
        <v>21</v>
      </c>
      <c r="GC10" s="90">
        <v>8</v>
      </c>
      <c r="GD10" s="90">
        <v>0</v>
      </c>
      <c r="GE10" s="90">
        <f t="shared" si="64"/>
        <v>13</v>
      </c>
      <c r="GF10" s="90">
        <v>19</v>
      </c>
      <c r="GG10" s="91">
        <f t="shared" si="1"/>
        <v>38.095238095238095</v>
      </c>
      <c r="GH10" s="68" t="s">
        <v>3</v>
      </c>
      <c r="GI10" s="39">
        <v>25</v>
      </c>
      <c r="GJ10" s="39">
        <v>23</v>
      </c>
      <c r="GK10" s="39">
        <f t="shared" si="65"/>
        <v>48</v>
      </c>
      <c r="GL10" s="39">
        <v>16</v>
      </c>
      <c r="GM10" s="39">
        <v>0</v>
      </c>
      <c r="GN10" s="39">
        <f t="shared" si="66"/>
        <v>32</v>
      </c>
      <c r="GO10" s="39">
        <v>1</v>
      </c>
      <c r="GP10" s="37">
        <f t="shared" si="67"/>
        <v>33.333333333333329</v>
      </c>
      <c r="GQ10" s="68" t="s">
        <v>3</v>
      </c>
      <c r="GR10" s="64">
        <v>53</v>
      </c>
      <c r="GS10" s="64">
        <v>8</v>
      </c>
      <c r="GT10" s="64">
        <f t="shared" si="68"/>
        <v>61</v>
      </c>
      <c r="GU10" s="64">
        <v>53</v>
      </c>
      <c r="GV10" s="64">
        <v>0</v>
      </c>
      <c r="GW10" s="64">
        <f t="shared" si="69"/>
        <v>8</v>
      </c>
      <c r="GX10" s="64">
        <v>2</v>
      </c>
      <c r="GY10" s="66">
        <f t="shared" si="70"/>
        <v>86.885245901639337</v>
      </c>
      <c r="GZ10" s="68" t="s">
        <v>3</v>
      </c>
      <c r="HA10" s="64">
        <v>11</v>
      </c>
      <c r="HB10" s="64">
        <v>0</v>
      </c>
      <c r="HC10" s="64">
        <f t="shared" si="71"/>
        <v>11</v>
      </c>
      <c r="HD10" s="64">
        <v>10</v>
      </c>
      <c r="HE10" s="64">
        <v>0</v>
      </c>
      <c r="HF10" s="64">
        <f t="shared" si="72"/>
        <v>1</v>
      </c>
      <c r="HG10" s="64">
        <v>0</v>
      </c>
      <c r="HH10" s="66">
        <f t="shared" si="2"/>
        <v>90.909090909090907</v>
      </c>
      <c r="HI10" s="5" t="s">
        <v>0</v>
      </c>
      <c r="HJ10" s="5">
        <v>46</v>
      </c>
      <c r="HK10" s="5">
        <v>0</v>
      </c>
      <c r="HL10" s="3">
        <f t="shared" si="73"/>
        <v>46</v>
      </c>
      <c r="HM10" s="5">
        <v>20</v>
      </c>
      <c r="HN10" s="5">
        <v>0</v>
      </c>
      <c r="HO10" s="3">
        <f t="shared" si="74"/>
        <v>26</v>
      </c>
      <c r="HP10" s="5">
        <v>8</v>
      </c>
      <c r="HQ10" s="23">
        <f t="shared" si="3"/>
        <v>43.478260869565219</v>
      </c>
      <c r="HR10" s="5" t="s">
        <v>0</v>
      </c>
      <c r="HS10" s="5">
        <v>40</v>
      </c>
      <c r="HT10" s="5">
        <v>0</v>
      </c>
      <c r="HU10" s="3">
        <f t="shared" si="75"/>
        <v>40</v>
      </c>
      <c r="HV10" s="5">
        <v>21</v>
      </c>
      <c r="HW10" s="5">
        <v>0</v>
      </c>
      <c r="HX10" s="3">
        <f t="shared" si="76"/>
        <v>19</v>
      </c>
      <c r="HY10" s="5">
        <v>9</v>
      </c>
      <c r="HZ10" s="23">
        <f t="shared" si="77"/>
        <v>52.5</v>
      </c>
      <c r="IA10" s="65" t="s">
        <v>0</v>
      </c>
      <c r="IB10" s="5">
        <v>26</v>
      </c>
      <c r="IC10" s="5">
        <v>0</v>
      </c>
      <c r="ID10" s="3">
        <f t="shared" si="78"/>
        <v>26</v>
      </c>
      <c r="IE10" s="5">
        <v>10</v>
      </c>
      <c r="IF10" s="5">
        <v>0</v>
      </c>
      <c r="IG10" s="3">
        <f t="shared" si="79"/>
        <v>16</v>
      </c>
      <c r="IH10" s="5">
        <v>12</v>
      </c>
      <c r="II10" s="23">
        <f t="shared" si="80"/>
        <v>38.461538461538467</v>
      </c>
      <c r="IJ10" s="3" t="s">
        <v>2</v>
      </c>
      <c r="IK10" s="3">
        <v>17</v>
      </c>
      <c r="IL10" s="3">
        <v>3</v>
      </c>
      <c r="IM10" s="3">
        <f t="shared" si="81"/>
        <v>20</v>
      </c>
      <c r="IN10" s="3">
        <v>13</v>
      </c>
      <c r="IO10" s="3">
        <v>1</v>
      </c>
      <c r="IP10" s="3">
        <f t="shared" si="82"/>
        <v>7</v>
      </c>
      <c r="IQ10" s="3">
        <v>1</v>
      </c>
      <c r="IR10" s="6">
        <f t="shared" si="83"/>
        <v>65</v>
      </c>
      <c r="IS10" s="3" t="s">
        <v>2</v>
      </c>
      <c r="IT10" s="3">
        <v>30</v>
      </c>
      <c r="IU10" s="3">
        <v>1</v>
      </c>
      <c r="IV10" s="3">
        <f t="shared" si="84"/>
        <v>31</v>
      </c>
      <c r="IW10" s="3">
        <v>19</v>
      </c>
      <c r="IX10" s="3">
        <v>0</v>
      </c>
      <c r="IY10" s="3">
        <f t="shared" si="85"/>
        <v>12</v>
      </c>
      <c r="IZ10" s="3">
        <v>2</v>
      </c>
      <c r="JA10" s="6">
        <f t="shared" si="86"/>
        <v>61.29032258064516</v>
      </c>
      <c r="JB10" s="39" t="s">
        <v>75</v>
      </c>
      <c r="JC10" s="39">
        <v>24</v>
      </c>
      <c r="JD10" s="39">
        <v>1</v>
      </c>
      <c r="JE10" s="5">
        <f t="shared" si="87"/>
        <v>25</v>
      </c>
      <c r="JF10" s="39">
        <v>15</v>
      </c>
      <c r="JG10" s="39">
        <v>0</v>
      </c>
      <c r="JH10" s="5">
        <f t="shared" si="88"/>
        <v>10</v>
      </c>
      <c r="JI10" s="39">
        <v>3</v>
      </c>
      <c r="JJ10" s="40">
        <f t="shared" si="89"/>
        <v>60</v>
      </c>
    </row>
    <row r="11" spans="1:270" x14ac:dyDescent="0.2">
      <c r="A11" s="1" t="s">
        <v>2</v>
      </c>
      <c r="B11" s="71">
        <v>26</v>
      </c>
      <c r="C11" s="72">
        <v>0</v>
      </c>
      <c r="D11" s="72">
        <f t="shared" si="4"/>
        <v>26</v>
      </c>
      <c r="E11" s="72">
        <v>3</v>
      </c>
      <c r="F11" s="72">
        <v>0</v>
      </c>
      <c r="G11" s="72">
        <f t="shared" si="5"/>
        <v>23</v>
      </c>
      <c r="H11" s="72">
        <v>6</v>
      </c>
      <c r="I11" s="27">
        <f t="shared" si="6"/>
        <v>11.538461538461538</v>
      </c>
      <c r="J11" s="1" t="s">
        <v>2</v>
      </c>
      <c r="K11" s="10">
        <v>38</v>
      </c>
      <c r="L11" s="10">
        <v>0</v>
      </c>
      <c r="M11" s="10">
        <f t="shared" si="7"/>
        <v>38</v>
      </c>
      <c r="N11" s="10">
        <v>4</v>
      </c>
      <c r="O11" s="10">
        <v>0</v>
      </c>
      <c r="P11" s="74">
        <f t="shared" si="8"/>
        <v>34</v>
      </c>
      <c r="Q11" s="74">
        <v>8</v>
      </c>
      <c r="R11" s="28">
        <f t="shared" si="9"/>
        <v>10.526315789473683</v>
      </c>
      <c r="S11" s="1" t="s">
        <v>2</v>
      </c>
      <c r="T11" s="10">
        <v>30</v>
      </c>
      <c r="U11" s="10">
        <v>0</v>
      </c>
      <c r="V11" s="10">
        <f t="shared" si="10"/>
        <v>30</v>
      </c>
      <c r="W11" s="10">
        <v>5</v>
      </c>
      <c r="X11" s="10">
        <v>0</v>
      </c>
      <c r="Y11" s="74">
        <f t="shared" si="11"/>
        <v>25</v>
      </c>
      <c r="Z11" s="10">
        <v>4</v>
      </c>
      <c r="AA11" s="28">
        <f t="shared" si="12"/>
        <v>16.666666666666664</v>
      </c>
      <c r="AB11" s="1" t="s">
        <v>0</v>
      </c>
      <c r="AC11" s="5">
        <v>11</v>
      </c>
      <c r="AD11" s="5">
        <v>2</v>
      </c>
      <c r="AE11" s="76">
        <f t="shared" si="13"/>
        <v>13</v>
      </c>
      <c r="AF11" s="5">
        <v>11</v>
      </c>
      <c r="AG11" s="5">
        <v>0</v>
      </c>
      <c r="AH11" s="76">
        <f t="shared" si="14"/>
        <v>2</v>
      </c>
      <c r="AI11" s="5">
        <v>1</v>
      </c>
      <c r="AJ11" s="13">
        <f t="shared" si="15"/>
        <v>84.615384615384613</v>
      </c>
      <c r="AK11" s="1" t="s">
        <v>0</v>
      </c>
      <c r="AL11" s="5">
        <v>25</v>
      </c>
      <c r="AM11" s="5">
        <v>14</v>
      </c>
      <c r="AN11" s="5">
        <f t="shared" si="16"/>
        <v>39</v>
      </c>
      <c r="AO11" s="5">
        <v>22</v>
      </c>
      <c r="AP11" s="5">
        <v>0</v>
      </c>
      <c r="AQ11" s="5">
        <f t="shared" si="17"/>
        <v>17</v>
      </c>
      <c r="AR11" s="5">
        <v>4</v>
      </c>
      <c r="AS11" s="9">
        <f t="shared" si="18"/>
        <v>56.410256410256409</v>
      </c>
      <c r="AT11" t="s">
        <v>75</v>
      </c>
      <c r="AU11" s="7">
        <v>24</v>
      </c>
      <c r="AV11" s="7">
        <v>7</v>
      </c>
      <c r="AW11" s="5">
        <f t="shared" si="19"/>
        <v>31</v>
      </c>
      <c r="AX11" s="7">
        <v>24</v>
      </c>
      <c r="AY11" s="7">
        <v>0</v>
      </c>
      <c r="AZ11" s="5">
        <f t="shared" si="20"/>
        <v>7</v>
      </c>
      <c r="BA11" s="7">
        <v>3</v>
      </c>
      <c r="BB11" s="8">
        <f t="shared" si="21"/>
        <v>77.41935483870968</v>
      </c>
      <c r="BC11" s="1" t="s">
        <v>0</v>
      </c>
      <c r="BD11" s="5">
        <v>47</v>
      </c>
      <c r="BE11" s="5">
        <v>0</v>
      </c>
      <c r="BF11" s="5">
        <f t="shared" si="22"/>
        <v>47</v>
      </c>
      <c r="BG11" s="5">
        <v>4</v>
      </c>
      <c r="BH11" s="5">
        <v>0</v>
      </c>
      <c r="BI11" s="5">
        <f t="shared" si="23"/>
        <v>43</v>
      </c>
      <c r="BJ11" s="5">
        <v>0</v>
      </c>
      <c r="BK11" s="9">
        <f t="shared" si="24"/>
        <v>8.5106382978723403</v>
      </c>
      <c r="BL11" s="1" t="s">
        <v>3</v>
      </c>
      <c r="BM11" s="7">
        <v>30</v>
      </c>
      <c r="BN11" s="7">
        <v>0</v>
      </c>
      <c r="BO11" s="5">
        <f t="shared" si="25"/>
        <v>30</v>
      </c>
      <c r="BP11" s="7">
        <v>0</v>
      </c>
      <c r="BQ11" s="7">
        <v>0</v>
      </c>
      <c r="BR11" s="5">
        <f t="shared" si="26"/>
        <v>30</v>
      </c>
      <c r="BS11" s="7">
        <v>2</v>
      </c>
      <c r="BT11" s="22">
        <f t="shared" si="27"/>
        <v>0</v>
      </c>
      <c r="BU11" s="1" t="s">
        <v>0</v>
      </c>
      <c r="BV11" s="5">
        <v>37</v>
      </c>
      <c r="BW11" s="5">
        <v>0</v>
      </c>
      <c r="BX11" s="5">
        <f t="shared" si="28"/>
        <v>37</v>
      </c>
      <c r="BY11" s="5">
        <v>20</v>
      </c>
      <c r="BZ11" s="5">
        <v>0</v>
      </c>
      <c r="CA11" s="5">
        <f t="shared" si="29"/>
        <v>17</v>
      </c>
      <c r="CB11" s="5">
        <v>1</v>
      </c>
      <c r="CC11" s="9">
        <f t="shared" si="30"/>
        <v>54.054054054054056</v>
      </c>
      <c r="CD11" s="9" t="s">
        <v>3</v>
      </c>
      <c r="CE11" s="76">
        <v>45</v>
      </c>
      <c r="CF11" s="76">
        <v>18</v>
      </c>
      <c r="CG11" s="76">
        <f t="shared" si="31"/>
        <v>63</v>
      </c>
      <c r="CH11" s="76">
        <v>34</v>
      </c>
      <c r="CI11" s="76">
        <v>0</v>
      </c>
      <c r="CJ11" s="76">
        <f t="shared" si="32"/>
        <v>29</v>
      </c>
      <c r="CK11" s="76">
        <v>1</v>
      </c>
      <c r="CL11" s="23">
        <f t="shared" si="33"/>
        <v>53.968253968253968</v>
      </c>
      <c r="CM11" s="9" t="s">
        <v>3</v>
      </c>
      <c r="CN11" s="76">
        <v>39</v>
      </c>
      <c r="CO11" s="76">
        <v>0</v>
      </c>
      <c r="CP11" s="76">
        <f t="shared" si="34"/>
        <v>39</v>
      </c>
      <c r="CQ11" s="76">
        <v>29</v>
      </c>
      <c r="CR11" s="76">
        <v>0</v>
      </c>
      <c r="CS11" s="76">
        <f t="shared" si="35"/>
        <v>10</v>
      </c>
      <c r="CT11" s="76">
        <v>0</v>
      </c>
      <c r="CU11" s="9">
        <f t="shared" si="36"/>
        <v>74.358974358974365</v>
      </c>
      <c r="CV11" s="9" t="s">
        <v>3</v>
      </c>
      <c r="CW11" s="76">
        <v>49</v>
      </c>
      <c r="CX11" s="76">
        <v>9</v>
      </c>
      <c r="CY11" s="76">
        <f t="shared" si="37"/>
        <v>58</v>
      </c>
      <c r="CZ11" s="76">
        <v>37</v>
      </c>
      <c r="DA11" s="76">
        <v>0</v>
      </c>
      <c r="DB11" s="76">
        <f t="shared" si="38"/>
        <v>21</v>
      </c>
      <c r="DC11" s="76">
        <v>3</v>
      </c>
      <c r="DD11" s="23">
        <f t="shared" si="39"/>
        <v>63.793103448275865</v>
      </c>
      <c r="DE11" s="69" t="s">
        <v>0</v>
      </c>
      <c r="DF11" s="55">
        <v>16</v>
      </c>
      <c r="DG11" s="55">
        <v>0</v>
      </c>
      <c r="DH11" s="55">
        <f t="shared" si="40"/>
        <v>16</v>
      </c>
      <c r="DI11" s="55">
        <v>0</v>
      </c>
      <c r="DJ11" s="55">
        <v>0</v>
      </c>
      <c r="DK11" s="55">
        <f t="shared" si="41"/>
        <v>16</v>
      </c>
      <c r="DL11" s="55">
        <v>8</v>
      </c>
      <c r="DM11" s="36">
        <f t="shared" si="42"/>
        <v>0</v>
      </c>
      <c r="DN11" s="1" t="s">
        <v>1</v>
      </c>
      <c r="DO11">
        <v>20</v>
      </c>
      <c r="DP11">
        <v>0</v>
      </c>
      <c r="DQ11">
        <f t="shared" si="43"/>
        <v>20</v>
      </c>
      <c r="DR11">
        <v>1</v>
      </c>
      <c r="DS11">
        <v>0</v>
      </c>
      <c r="DT11">
        <f t="shared" si="44"/>
        <v>19</v>
      </c>
      <c r="DU11">
        <v>13</v>
      </c>
      <c r="DV11" s="11">
        <f t="shared" si="45"/>
        <v>5</v>
      </c>
      <c r="DW11" s="2" t="s">
        <v>1</v>
      </c>
      <c r="DX11" s="3">
        <v>11</v>
      </c>
      <c r="DY11" s="3">
        <v>0</v>
      </c>
      <c r="DZ11" s="55">
        <f t="shared" si="46"/>
        <v>11</v>
      </c>
      <c r="EA11" s="3">
        <v>9</v>
      </c>
      <c r="EB11" s="3">
        <v>0</v>
      </c>
      <c r="EC11" s="55">
        <f t="shared" si="47"/>
        <v>2</v>
      </c>
      <c r="ED11" s="3">
        <v>1</v>
      </c>
      <c r="EE11" s="4">
        <f t="shared" si="48"/>
        <v>81.818181818181827</v>
      </c>
      <c r="EF11" s="69" t="s">
        <v>0</v>
      </c>
      <c r="EG11" s="34">
        <v>11</v>
      </c>
      <c r="EH11" s="34">
        <v>1</v>
      </c>
      <c r="EI11" s="34">
        <f t="shared" si="49"/>
        <v>12</v>
      </c>
      <c r="EJ11" s="34">
        <v>6</v>
      </c>
      <c r="EK11" s="34">
        <v>0</v>
      </c>
      <c r="EL11" s="34">
        <f t="shared" si="50"/>
        <v>6</v>
      </c>
      <c r="EM11" s="34">
        <v>1</v>
      </c>
      <c r="EN11" s="36">
        <f t="shared" si="51"/>
        <v>50</v>
      </c>
      <c r="EO11" s="69" t="s">
        <v>0</v>
      </c>
      <c r="EP11" s="34">
        <v>11</v>
      </c>
      <c r="EQ11" s="34">
        <v>0</v>
      </c>
      <c r="ER11" s="34">
        <f t="shared" si="52"/>
        <v>11</v>
      </c>
      <c r="ES11" s="34">
        <v>9</v>
      </c>
      <c r="ET11" s="34">
        <v>0</v>
      </c>
      <c r="EU11" s="34">
        <f t="shared" si="53"/>
        <v>2</v>
      </c>
      <c r="EV11" s="34">
        <v>0</v>
      </c>
      <c r="EW11" s="36">
        <f t="shared" si="54"/>
        <v>81.818181818181827</v>
      </c>
      <c r="EX11" s="69" t="s">
        <v>0</v>
      </c>
      <c r="EY11" s="56">
        <v>15</v>
      </c>
      <c r="EZ11" s="56">
        <v>2</v>
      </c>
      <c r="FA11" s="56">
        <f t="shared" si="55"/>
        <v>17</v>
      </c>
      <c r="FB11" s="34">
        <v>10</v>
      </c>
      <c r="FC11" s="34">
        <v>0</v>
      </c>
      <c r="FD11" s="56">
        <f t="shared" si="56"/>
        <v>7</v>
      </c>
      <c r="FE11" s="34">
        <v>0</v>
      </c>
      <c r="FF11" s="57">
        <f t="shared" si="57"/>
        <v>58.82352941176471</v>
      </c>
      <c r="FG11" s="68" t="s">
        <v>3</v>
      </c>
      <c r="FH11" s="39">
        <v>31</v>
      </c>
      <c r="FI11" s="39">
        <v>0</v>
      </c>
      <c r="FJ11" s="7">
        <f t="shared" si="58"/>
        <v>31</v>
      </c>
      <c r="FK11" s="39">
        <v>0</v>
      </c>
      <c r="FL11" s="39">
        <v>0</v>
      </c>
      <c r="FM11" s="7">
        <f t="shared" si="59"/>
        <v>31</v>
      </c>
      <c r="FN11" s="39">
        <v>16</v>
      </c>
      <c r="FO11" s="37">
        <f t="shared" si="0"/>
        <v>0</v>
      </c>
      <c r="FP11" s="68" t="s">
        <v>3</v>
      </c>
      <c r="FQ11" s="78">
        <v>82</v>
      </c>
      <c r="FR11" s="39">
        <v>0</v>
      </c>
      <c r="FS11" s="39">
        <f t="shared" si="60"/>
        <v>82</v>
      </c>
      <c r="FT11" s="78">
        <v>67</v>
      </c>
      <c r="FU11" s="39">
        <v>0</v>
      </c>
      <c r="FV11" s="39">
        <f t="shared" si="61"/>
        <v>15</v>
      </c>
      <c r="FW11" s="78">
        <v>18</v>
      </c>
      <c r="FX11" s="37">
        <f t="shared" si="62"/>
        <v>81.707317073170728</v>
      </c>
      <c r="FY11" s="92" t="s">
        <v>180</v>
      </c>
      <c r="FZ11" s="90">
        <v>28</v>
      </c>
      <c r="GA11" s="90">
        <v>0</v>
      </c>
      <c r="GB11" s="90">
        <f t="shared" si="63"/>
        <v>28</v>
      </c>
      <c r="GC11" s="90">
        <v>7</v>
      </c>
      <c r="GD11" s="90">
        <v>0</v>
      </c>
      <c r="GE11" s="90">
        <f t="shared" si="64"/>
        <v>21</v>
      </c>
      <c r="GF11" s="90">
        <v>18</v>
      </c>
      <c r="GG11" s="91">
        <f t="shared" si="1"/>
        <v>25</v>
      </c>
      <c r="GH11" s="68" t="s">
        <v>3</v>
      </c>
      <c r="GI11" s="39">
        <v>20</v>
      </c>
      <c r="GJ11" s="39">
        <v>17</v>
      </c>
      <c r="GK11" s="39">
        <f t="shared" si="65"/>
        <v>37</v>
      </c>
      <c r="GL11" s="39">
        <v>17</v>
      </c>
      <c r="GM11" s="39">
        <v>0</v>
      </c>
      <c r="GN11" s="39">
        <f t="shared" si="66"/>
        <v>20</v>
      </c>
      <c r="GO11" s="39">
        <v>1</v>
      </c>
      <c r="GP11" s="37">
        <f t="shared" si="67"/>
        <v>45.945945945945951</v>
      </c>
      <c r="GQ11" s="68" t="s">
        <v>3</v>
      </c>
      <c r="GR11" s="64">
        <v>62</v>
      </c>
      <c r="GS11" s="64">
        <v>3</v>
      </c>
      <c r="GT11" s="64">
        <f t="shared" si="68"/>
        <v>65</v>
      </c>
      <c r="GU11" s="64">
        <v>52</v>
      </c>
      <c r="GV11" s="64">
        <v>0</v>
      </c>
      <c r="GW11" s="64">
        <f t="shared" si="69"/>
        <v>13</v>
      </c>
      <c r="GX11" s="64">
        <v>6</v>
      </c>
      <c r="GY11" s="66">
        <f t="shared" si="70"/>
        <v>80</v>
      </c>
      <c r="GZ11" s="68" t="s">
        <v>3</v>
      </c>
      <c r="HA11" s="64">
        <v>22</v>
      </c>
      <c r="HB11" s="64">
        <v>3</v>
      </c>
      <c r="HC11" s="64">
        <f t="shared" si="71"/>
        <v>25</v>
      </c>
      <c r="HD11" s="64">
        <v>18</v>
      </c>
      <c r="HE11" s="64">
        <v>0</v>
      </c>
      <c r="HF11" s="64">
        <f t="shared" si="72"/>
        <v>7</v>
      </c>
      <c r="HG11" s="64">
        <v>3</v>
      </c>
      <c r="HH11" s="66">
        <f t="shared" si="2"/>
        <v>72</v>
      </c>
      <c r="HI11" s="5" t="s">
        <v>0</v>
      </c>
      <c r="HJ11" s="5">
        <v>40</v>
      </c>
      <c r="HK11" s="5">
        <v>0</v>
      </c>
      <c r="HL11" s="3">
        <f t="shared" si="73"/>
        <v>40</v>
      </c>
      <c r="HM11" s="5">
        <v>16</v>
      </c>
      <c r="HN11" s="5">
        <v>0</v>
      </c>
      <c r="HO11" s="3">
        <f t="shared" si="74"/>
        <v>24</v>
      </c>
      <c r="HP11" s="5">
        <v>11</v>
      </c>
      <c r="HQ11" s="23">
        <f t="shared" si="3"/>
        <v>40</v>
      </c>
      <c r="HR11" s="5" t="s">
        <v>0</v>
      </c>
      <c r="HS11" s="5">
        <v>30</v>
      </c>
      <c r="HT11" s="5">
        <v>0</v>
      </c>
      <c r="HU11" s="3">
        <f t="shared" si="75"/>
        <v>30</v>
      </c>
      <c r="HV11" s="5">
        <v>12</v>
      </c>
      <c r="HW11" s="5">
        <v>0</v>
      </c>
      <c r="HX11" s="3">
        <f t="shared" si="76"/>
        <v>18</v>
      </c>
      <c r="HY11" s="5">
        <v>11</v>
      </c>
      <c r="HZ11" s="23">
        <f t="shared" si="77"/>
        <v>40</v>
      </c>
      <c r="IA11" s="65" t="s">
        <v>0</v>
      </c>
      <c r="IB11" s="5">
        <v>25</v>
      </c>
      <c r="IC11" s="5">
        <v>0</v>
      </c>
      <c r="ID11" s="3">
        <f t="shared" si="78"/>
        <v>25</v>
      </c>
      <c r="IE11" s="5">
        <v>10</v>
      </c>
      <c r="IF11" s="5">
        <v>0</v>
      </c>
      <c r="IG11" s="3">
        <f t="shared" si="79"/>
        <v>15</v>
      </c>
      <c r="IH11" s="5">
        <v>18</v>
      </c>
      <c r="II11" s="23">
        <f t="shared" si="80"/>
        <v>40</v>
      </c>
      <c r="IJ11" s="65" t="s">
        <v>0</v>
      </c>
      <c r="IK11" s="5">
        <v>22</v>
      </c>
      <c r="IL11" s="5">
        <v>2</v>
      </c>
      <c r="IM11" s="3">
        <f t="shared" si="81"/>
        <v>24</v>
      </c>
      <c r="IN11" s="5">
        <v>12</v>
      </c>
      <c r="IO11" s="5">
        <v>0</v>
      </c>
      <c r="IP11" s="3">
        <f t="shared" si="82"/>
        <v>12</v>
      </c>
      <c r="IQ11" s="5">
        <v>4</v>
      </c>
      <c r="IR11" s="23">
        <f t="shared" si="83"/>
        <v>50</v>
      </c>
      <c r="IS11" s="3" t="s">
        <v>2</v>
      </c>
      <c r="IT11" s="3">
        <v>30</v>
      </c>
      <c r="IU11" s="3">
        <v>2</v>
      </c>
      <c r="IV11" s="3">
        <f t="shared" si="84"/>
        <v>32</v>
      </c>
      <c r="IW11" s="3">
        <v>22</v>
      </c>
      <c r="IX11" s="3">
        <v>0</v>
      </c>
      <c r="IY11" s="3">
        <f t="shared" si="85"/>
        <v>10</v>
      </c>
      <c r="IZ11" s="3">
        <v>1</v>
      </c>
      <c r="JA11" s="6">
        <f t="shared" si="86"/>
        <v>68.75</v>
      </c>
      <c r="JB11" s="39" t="s">
        <v>75</v>
      </c>
      <c r="JC11" s="39">
        <v>22</v>
      </c>
      <c r="JD11" s="39">
        <v>2</v>
      </c>
      <c r="JE11" s="5">
        <f t="shared" si="87"/>
        <v>24</v>
      </c>
      <c r="JF11" s="39">
        <v>10</v>
      </c>
      <c r="JG11" s="39">
        <v>0</v>
      </c>
      <c r="JH11" s="5">
        <f t="shared" si="88"/>
        <v>14</v>
      </c>
      <c r="JI11" s="39">
        <v>6</v>
      </c>
      <c r="JJ11" s="40">
        <f t="shared" si="89"/>
        <v>41.666666666666671</v>
      </c>
    </row>
    <row r="12" spans="1:270" x14ac:dyDescent="0.2">
      <c r="A12" s="1" t="s">
        <v>2</v>
      </c>
      <c r="B12" s="71">
        <v>27</v>
      </c>
      <c r="C12" s="72">
        <v>0</v>
      </c>
      <c r="D12" s="72">
        <f t="shared" si="4"/>
        <v>27</v>
      </c>
      <c r="E12" s="72">
        <v>7</v>
      </c>
      <c r="F12" s="72">
        <v>0</v>
      </c>
      <c r="G12" s="72">
        <f t="shared" si="5"/>
        <v>20</v>
      </c>
      <c r="H12" s="72">
        <v>6</v>
      </c>
      <c r="I12" s="27">
        <f t="shared" si="6"/>
        <v>25.925925925925924</v>
      </c>
      <c r="J12" s="1" t="s">
        <v>2</v>
      </c>
      <c r="K12" s="10">
        <v>33</v>
      </c>
      <c r="L12" s="10">
        <v>0</v>
      </c>
      <c r="M12" s="10">
        <f t="shared" si="7"/>
        <v>33</v>
      </c>
      <c r="N12" s="10">
        <v>6</v>
      </c>
      <c r="O12" s="10">
        <v>0</v>
      </c>
      <c r="P12" s="74">
        <f t="shared" si="8"/>
        <v>27</v>
      </c>
      <c r="Q12" s="74">
        <v>5</v>
      </c>
      <c r="R12" s="28">
        <f t="shared" si="9"/>
        <v>18.181818181818183</v>
      </c>
      <c r="S12" s="1" t="s">
        <v>2</v>
      </c>
      <c r="T12" s="10">
        <v>20</v>
      </c>
      <c r="U12" s="10">
        <v>0</v>
      </c>
      <c r="V12" s="10">
        <f t="shared" si="10"/>
        <v>20</v>
      </c>
      <c r="W12" s="10">
        <v>7</v>
      </c>
      <c r="X12" s="10">
        <v>0</v>
      </c>
      <c r="Y12" s="74">
        <f t="shared" si="11"/>
        <v>13</v>
      </c>
      <c r="Z12" s="10">
        <v>3</v>
      </c>
      <c r="AA12" s="28">
        <f t="shared" si="12"/>
        <v>35</v>
      </c>
      <c r="AB12" s="1" t="s">
        <v>0</v>
      </c>
      <c r="AC12" s="5">
        <v>28</v>
      </c>
      <c r="AD12" s="5">
        <v>4</v>
      </c>
      <c r="AE12" s="76">
        <f t="shared" si="13"/>
        <v>32</v>
      </c>
      <c r="AF12" s="5">
        <v>26</v>
      </c>
      <c r="AG12" s="5">
        <v>0</v>
      </c>
      <c r="AH12" s="76">
        <f t="shared" si="14"/>
        <v>6</v>
      </c>
      <c r="AI12" s="5">
        <v>0</v>
      </c>
      <c r="AJ12" s="13">
        <f t="shared" si="15"/>
        <v>81.25</v>
      </c>
      <c r="AK12" s="1" t="s">
        <v>0</v>
      </c>
      <c r="AL12" s="5">
        <v>28</v>
      </c>
      <c r="AM12" s="5">
        <v>7</v>
      </c>
      <c r="AN12" s="5">
        <f t="shared" si="16"/>
        <v>35</v>
      </c>
      <c r="AO12" s="5">
        <v>23</v>
      </c>
      <c r="AP12" s="5">
        <v>0</v>
      </c>
      <c r="AQ12" s="5">
        <f t="shared" si="17"/>
        <v>12</v>
      </c>
      <c r="AR12" s="5">
        <v>0</v>
      </c>
      <c r="AS12" s="9">
        <f t="shared" si="18"/>
        <v>65.714285714285708</v>
      </c>
      <c r="AT12" t="s">
        <v>75</v>
      </c>
      <c r="AU12" s="7">
        <v>22</v>
      </c>
      <c r="AV12" s="7">
        <v>8</v>
      </c>
      <c r="AW12" s="5">
        <f t="shared" si="19"/>
        <v>30</v>
      </c>
      <c r="AX12" s="7">
        <v>22</v>
      </c>
      <c r="AY12" s="7">
        <v>0</v>
      </c>
      <c r="AZ12" s="5">
        <f t="shared" si="20"/>
        <v>8</v>
      </c>
      <c r="BA12" s="7">
        <v>1</v>
      </c>
      <c r="BB12" s="8">
        <f t="shared" si="21"/>
        <v>73.333333333333329</v>
      </c>
      <c r="BC12" s="1" t="s">
        <v>0</v>
      </c>
      <c r="BD12" s="5">
        <v>37</v>
      </c>
      <c r="BE12" s="5">
        <v>0</v>
      </c>
      <c r="BF12" s="5">
        <f t="shared" si="22"/>
        <v>37</v>
      </c>
      <c r="BG12" s="5">
        <v>1</v>
      </c>
      <c r="BH12" s="5">
        <v>0</v>
      </c>
      <c r="BI12" s="5">
        <f t="shared" si="23"/>
        <v>36</v>
      </c>
      <c r="BJ12" s="5">
        <v>1</v>
      </c>
      <c r="BK12" s="9">
        <f t="shared" si="24"/>
        <v>2.7027027027027026</v>
      </c>
      <c r="BL12" s="1" t="s">
        <v>3</v>
      </c>
      <c r="BM12" s="7">
        <v>28</v>
      </c>
      <c r="BN12" s="7">
        <v>0</v>
      </c>
      <c r="BO12" s="5">
        <f t="shared" si="25"/>
        <v>28</v>
      </c>
      <c r="BP12" s="7">
        <v>0</v>
      </c>
      <c r="BQ12" s="7">
        <v>0</v>
      </c>
      <c r="BR12" s="5">
        <f t="shared" si="26"/>
        <v>28</v>
      </c>
      <c r="BS12" s="7">
        <v>0</v>
      </c>
      <c r="BT12" s="22">
        <f t="shared" si="27"/>
        <v>0</v>
      </c>
      <c r="BU12" s="1" t="s">
        <v>0</v>
      </c>
      <c r="BV12" s="5">
        <v>23</v>
      </c>
      <c r="BW12" s="5">
        <v>0</v>
      </c>
      <c r="BX12" s="5">
        <f t="shared" si="28"/>
        <v>23</v>
      </c>
      <c r="BY12" s="5">
        <v>11</v>
      </c>
      <c r="BZ12" s="5">
        <v>0</v>
      </c>
      <c r="CA12" s="5">
        <f t="shared" si="29"/>
        <v>12</v>
      </c>
      <c r="CB12" s="5">
        <v>0</v>
      </c>
      <c r="CC12" s="9">
        <f t="shared" si="30"/>
        <v>47.826086956521742</v>
      </c>
      <c r="CD12" s="9" t="s">
        <v>3</v>
      </c>
      <c r="CE12" s="76">
        <v>35</v>
      </c>
      <c r="CF12" s="76">
        <v>7</v>
      </c>
      <c r="CG12" s="76">
        <f t="shared" si="31"/>
        <v>42</v>
      </c>
      <c r="CH12" s="76">
        <v>23</v>
      </c>
      <c r="CI12" s="76">
        <v>0</v>
      </c>
      <c r="CJ12" s="76">
        <f t="shared" si="32"/>
        <v>19</v>
      </c>
      <c r="CK12" s="76">
        <v>0</v>
      </c>
      <c r="CL12" s="23">
        <f t="shared" si="33"/>
        <v>54.761904761904766</v>
      </c>
      <c r="CM12" s="9" t="s">
        <v>0</v>
      </c>
      <c r="CN12" s="76">
        <v>46</v>
      </c>
      <c r="CO12" s="76">
        <v>5</v>
      </c>
      <c r="CP12" s="76">
        <f t="shared" si="34"/>
        <v>51</v>
      </c>
      <c r="CQ12" s="76">
        <v>33</v>
      </c>
      <c r="CR12" s="76">
        <v>0</v>
      </c>
      <c r="CS12" s="76">
        <f t="shared" si="35"/>
        <v>18</v>
      </c>
      <c r="CT12" s="76">
        <v>4</v>
      </c>
      <c r="CU12" s="9">
        <f t="shared" si="36"/>
        <v>64.705882352941174</v>
      </c>
      <c r="CV12" s="9" t="s">
        <v>3</v>
      </c>
      <c r="CW12" s="76">
        <v>61</v>
      </c>
      <c r="CX12" s="76">
        <v>47</v>
      </c>
      <c r="CY12" s="76">
        <f t="shared" si="37"/>
        <v>108</v>
      </c>
      <c r="CZ12" s="76">
        <v>42</v>
      </c>
      <c r="DA12" s="76">
        <v>0</v>
      </c>
      <c r="DB12" s="76">
        <f t="shared" si="38"/>
        <v>66</v>
      </c>
      <c r="DC12" s="76">
        <v>0</v>
      </c>
      <c r="DD12" s="23">
        <f t="shared" si="39"/>
        <v>38.888888888888893</v>
      </c>
      <c r="DE12" s="69" t="s">
        <v>0</v>
      </c>
      <c r="DF12" s="55">
        <v>13</v>
      </c>
      <c r="DG12" s="55">
        <v>0</v>
      </c>
      <c r="DH12" s="55">
        <f t="shared" si="40"/>
        <v>13</v>
      </c>
      <c r="DI12" s="55">
        <v>0</v>
      </c>
      <c r="DJ12" s="55">
        <v>0</v>
      </c>
      <c r="DK12" s="55">
        <f t="shared" si="41"/>
        <v>13</v>
      </c>
      <c r="DL12" s="55">
        <v>10</v>
      </c>
      <c r="DM12" s="36">
        <f t="shared" si="42"/>
        <v>0</v>
      </c>
      <c r="DN12" s="1" t="s">
        <v>1</v>
      </c>
      <c r="DO12">
        <v>24</v>
      </c>
      <c r="DP12">
        <v>0</v>
      </c>
      <c r="DQ12">
        <f t="shared" si="43"/>
        <v>24</v>
      </c>
      <c r="DR12">
        <v>3</v>
      </c>
      <c r="DS12">
        <v>0</v>
      </c>
      <c r="DT12">
        <f t="shared" si="44"/>
        <v>21</v>
      </c>
      <c r="DU12">
        <v>13</v>
      </c>
      <c r="DV12" s="11">
        <f t="shared" si="45"/>
        <v>12.5</v>
      </c>
      <c r="DW12" s="68" t="s">
        <v>3</v>
      </c>
      <c r="DX12" s="39">
        <v>13</v>
      </c>
      <c r="DY12" s="39">
        <v>0</v>
      </c>
      <c r="DZ12" s="55">
        <f t="shared" si="46"/>
        <v>13</v>
      </c>
      <c r="EA12" s="39">
        <v>5</v>
      </c>
      <c r="EB12" s="39">
        <v>0</v>
      </c>
      <c r="EC12" s="55">
        <f t="shared" si="47"/>
        <v>8</v>
      </c>
      <c r="ED12" s="39">
        <v>1</v>
      </c>
      <c r="EE12" s="37">
        <f t="shared" si="48"/>
        <v>38.461538461538467</v>
      </c>
      <c r="EF12" s="68" t="s">
        <v>3</v>
      </c>
      <c r="EG12" s="35">
        <v>12</v>
      </c>
      <c r="EH12" s="35">
        <v>1</v>
      </c>
      <c r="EI12" s="34">
        <f t="shared" si="49"/>
        <v>13</v>
      </c>
      <c r="EJ12" s="35">
        <v>8</v>
      </c>
      <c r="EK12" s="35">
        <v>0</v>
      </c>
      <c r="EL12" s="34">
        <f t="shared" si="50"/>
        <v>5</v>
      </c>
      <c r="EM12" s="35">
        <v>3</v>
      </c>
      <c r="EN12" s="37">
        <f>(EJ12/(EG12+EH12))*100</f>
        <v>61.53846153846154</v>
      </c>
      <c r="EO12" s="68" t="s">
        <v>3</v>
      </c>
      <c r="EP12" s="35">
        <v>8</v>
      </c>
      <c r="EQ12" s="35">
        <v>1</v>
      </c>
      <c r="ER12" s="34">
        <f t="shared" si="52"/>
        <v>9</v>
      </c>
      <c r="ES12" s="35">
        <v>2</v>
      </c>
      <c r="ET12" s="35">
        <v>1</v>
      </c>
      <c r="EU12" s="34">
        <f t="shared" si="53"/>
        <v>7</v>
      </c>
      <c r="EV12" s="35">
        <v>0</v>
      </c>
      <c r="EW12" s="38">
        <f>(ES12/(EP12+EQ12))*100</f>
        <v>22.222222222222221</v>
      </c>
      <c r="EX12" s="68" t="s">
        <v>3</v>
      </c>
      <c r="EY12" s="35">
        <v>10</v>
      </c>
      <c r="EZ12" s="35">
        <v>1</v>
      </c>
      <c r="FA12" s="56">
        <f t="shared" si="55"/>
        <v>11</v>
      </c>
      <c r="FB12" s="35">
        <v>9</v>
      </c>
      <c r="FC12" s="35">
        <v>0</v>
      </c>
      <c r="FD12" s="56">
        <f t="shared" si="56"/>
        <v>2</v>
      </c>
      <c r="FE12" s="35">
        <v>1</v>
      </c>
      <c r="FF12" s="37">
        <f>(FB12/(EY12+EZ12))*100</f>
        <v>81.818181818181827</v>
      </c>
      <c r="FG12" s="68" t="s">
        <v>3</v>
      </c>
      <c r="FH12" s="39">
        <v>40</v>
      </c>
      <c r="FI12" s="39">
        <v>0</v>
      </c>
      <c r="FJ12" s="7">
        <f t="shared" si="58"/>
        <v>40</v>
      </c>
      <c r="FK12" s="39">
        <v>1</v>
      </c>
      <c r="FL12" s="39">
        <v>0</v>
      </c>
      <c r="FM12" s="7">
        <f t="shared" si="59"/>
        <v>39</v>
      </c>
      <c r="FN12" s="39">
        <v>12</v>
      </c>
      <c r="FO12" s="37">
        <f t="shared" si="0"/>
        <v>2.5</v>
      </c>
      <c r="FP12" s="68" t="s">
        <v>3</v>
      </c>
      <c r="FQ12" s="78">
        <v>56</v>
      </c>
      <c r="FR12" s="39">
        <v>0</v>
      </c>
      <c r="FS12" s="39">
        <f t="shared" si="60"/>
        <v>56</v>
      </c>
      <c r="FT12" s="78">
        <v>41</v>
      </c>
      <c r="FU12" s="39">
        <v>0</v>
      </c>
      <c r="FV12" s="39">
        <f t="shared" si="61"/>
        <v>15</v>
      </c>
      <c r="FW12" s="78">
        <v>18</v>
      </c>
      <c r="FX12" s="37">
        <f t="shared" si="62"/>
        <v>73.214285714285708</v>
      </c>
      <c r="FY12" s="92" t="s">
        <v>180</v>
      </c>
      <c r="FZ12" s="90">
        <v>34</v>
      </c>
      <c r="GA12" s="90">
        <v>0</v>
      </c>
      <c r="GB12" s="90">
        <f t="shared" si="63"/>
        <v>34</v>
      </c>
      <c r="GC12" s="90">
        <v>2</v>
      </c>
      <c r="GD12" s="90">
        <v>0</v>
      </c>
      <c r="GE12" s="90">
        <f t="shared" si="64"/>
        <v>32</v>
      </c>
      <c r="GF12" s="90">
        <v>15</v>
      </c>
      <c r="GG12" s="91">
        <f t="shared" si="1"/>
        <v>5.8823529411764701</v>
      </c>
      <c r="GH12" s="68" t="s">
        <v>3</v>
      </c>
      <c r="GI12" s="39">
        <v>22</v>
      </c>
      <c r="GJ12" s="39">
        <v>6</v>
      </c>
      <c r="GK12" s="39">
        <f t="shared" si="65"/>
        <v>28</v>
      </c>
      <c r="GL12" s="39">
        <v>13</v>
      </c>
      <c r="GM12" s="39">
        <v>0</v>
      </c>
      <c r="GN12" s="39">
        <f t="shared" si="66"/>
        <v>15</v>
      </c>
      <c r="GO12" s="39">
        <v>3</v>
      </c>
      <c r="GP12" s="37">
        <f t="shared" si="67"/>
        <v>46.428571428571431</v>
      </c>
      <c r="GQ12" s="68" t="s">
        <v>3</v>
      </c>
      <c r="GR12" s="64">
        <v>48</v>
      </c>
      <c r="GS12" s="64">
        <v>7</v>
      </c>
      <c r="GT12" s="64">
        <f t="shared" si="68"/>
        <v>55</v>
      </c>
      <c r="GU12" s="64">
        <v>44</v>
      </c>
      <c r="GV12" s="64">
        <v>0</v>
      </c>
      <c r="GW12" s="64">
        <f t="shared" si="69"/>
        <v>11</v>
      </c>
      <c r="GX12" s="64">
        <v>1</v>
      </c>
      <c r="GY12" s="66">
        <f t="shared" si="70"/>
        <v>80</v>
      </c>
      <c r="GZ12" s="68" t="s">
        <v>3</v>
      </c>
      <c r="HA12" s="64">
        <v>48</v>
      </c>
      <c r="HB12" s="64">
        <v>2</v>
      </c>
      <c r="HC12" s="64">
        <f t="shared" si="71"/>
        <v>50</v>
      </c>
      <c r="HD12" s="64">
        <v>40</v>
      </c>
      <c r="HE12" s="64">
        <v>0</v>
      </c>
      <c r="HF12" s="64">
        <f t="shared" si="72"/>
        <v>10</v>
      </c>
      <c r="HG12" s="64">
        <v>2</v>
      </c>
      <c r="HH12" s="66">
        <f t="shared" si="2"/>
        <v>80</v>
      </c>
      <c r="HI12" s="5" t="s">
        <v>0</v>
      </c>
      <c r="HJ12" s="5">
        <v>39</v>
      </c>
      <c r="HK12" s="5">
        <v>0</v>
      </c>
      <c r="HL12" s="3">
        <f t="shared" si="73"/>
        <v>39</v>
      </c>
      <c r="HM12" s="5">
        <v>16</v>
      </c>
      <c r="HN12" s="5">
        <v>0</v>
      </c>
      <c r="HO12" s="3">
        <f t="shared" si="74"/>
        <v>23</v>
      </c>
      <c r="HP12" s="5">
        <v>13</v>
      </c>
      <c r="HQ12" s="23">
        <f t="shared" si="3"/>
        <v>41.025641025641022</v>
      </c>
      <c r="HR12" s="5" t="s">
        <v>0</v>
      </c>
      <c r="HS12" s="5">
        <v>45</v>
      </c>
      <c r="HT12" s="5">
        <v>0</v>
      </c>
      <c r="HU12" s="3">
        <f t="shared" si="75"/>
        <v>45</v>
      </c>
      <c r="HV12" s="5">
        <v>19</v>
      </c>
      <c r="HW12" s="5">
        <v>0</v>
      </c>
      <c r="HX12" s="3">
        <f t="shared" si="76"/>
        <v>26</v>
      </c>
      <c r="HY12" s="5">
        <v>12</v>
      </c>
      <c r="HZ12" s="23">
        <f t="shared" si="77"/>
        <v>42.222222222222221</v>
      </c>
      <c r="IA12" s="65" t="s">
        <v>0</v>
      </c>
      <c r="IB12" s="5">
        <v>27</v>
      </c>
      <c r="IC12" s="5">
        <v>0</v>
      </c>
      <c r="ID12" s="3">
        <f t="shared" si="78"/>
        <v>27</v>
      </c>
      <c r="IE12" s="5">
        <v>14</v>
      </c>
      <c r="IF12" s="5">
        <v>0</v>
      </c>
      <c r="IG12" s="3">
        <f t="shared" si="79"/>
        <v>13</v>
      </c>
      <c r="IH12" s="5">
        <v>3</v>
      </c>
      <c r="II12" s="23">
        <f>(IE12/IB12)*100</f>
        <v>51.851851851851848</v>
      </c>
      <c r="IJ12" s="65" t="s">
        <v>0</v>
      </c>
      <c r="IK12" s="5">
        <v>25</v>
      </c>
      <c r="IL12" s="5">
        <v>3</v>
      </c>
      <c r="IM12" s="3">
        <f t="shared" si="81"/>
        <v>28</v>
      </c>
      <c r="IN12" s="5">
        <v>23</v>
      </c>
      <c r="IO12" s="5">
        <v>0</v>
      </c>
      <c r="IP12" s="3">
        <f t="shared" si="82"/>
        <v>5</v>
      </c>
      <c r="IQ12" s="5">
        <v>1</v>
      </c>
      <c r="IR12" s="23">
        <f t="shared" si="83"/>
        <v>82.142857142857139</v>
      </c>
      <c r="IS12" s="65" t="s">
        <v>0</v>
      </c>
      <c r="IT12" s="5">
        <v>26</v>
      </c>
      <c r="IU12" s="5">
        <v>2</v>
      </c>
      <c r="IV12" s="3">
        <f t="shared" si="84"/>
        <v>28</v>
      </c>
      <c r="IW12" s="5">
        <v>20</v>
      </c>
      <c r="IX12" s="5">
        <v>0</v>
      </c>
      <c r="IY12" s="3">
        <f t="shared" si="85"/>
        <v>8</v>
      </c>
      <c r="IZ12" s="5">
        <v>1</v>
      </c>
      <c r="JA12" s="23">
        <f t="shared" si="86"/>
        <v>71.428571428571431</v>
      </c>
      <c r="JB12" s="39" t="s">
        <v>75</v>
      </c>
      <c r="JC12" s="39">
        <v>22</v>
      </c>
      <c r="JD12" s="39">
        <v>1</v>
      </c>
      <c r="JE12" s="5">
        <f t="shared" si="87"/>
        <v>23</v>
      </c>
      <c r="JF12" s="39">
        <v>14</v>
      </c>
      <c r="JG12" s="39">
        <v>0</v>
      </c>
      <c r="JH12" s="5">
        <f t="shared" si="88"/>
        <v>9</v>
      </c>
      <c r="JI12" s="39">
        <v>3</v>
      </c>
      <c r="JJ12" s="40">
        <f t="shared" si="89"/>
        <v>60.869565217391312</v>
      </c>
    </row>
    <row r="13" spans="1:270" x14ac:dyDescent="0.2">
      <c r="A13" s="1" t="s">
        <v>2</v>
      </c>
      <c r="B13" s="71">
        <v>33</v>
      </c>
      <c r="C13" s="72">
        <v>0</v>
      </c>
      <c r="D13" s="72">
        <f t="shared" si="4"/>
        <v>33</v>
      </c>
      <c r="E13" s="72">
        <v>11</v>
      </c>
      <c r="F13" s="72">
        <v>0</v>
      </c>
      <c r="G13" s="72">
        <f t="shared" si="5"/>
        <v>22</v>
      </c>
      <c r="H13" s="72">
        <v>2</v>
      </c>
      <c r="I13" s="27">
        <f t="shared" si="6"/>
        <v>33.333333333333329</v>
      </c>
      <c r="J13" s="1" t="s">
        <v>2</v>
      </c>
      <c r="K13" s="10">
        <v>24</v>
      </c>
      <c r="L13" s="10">
        <v>0</v>
      </c>
      <c r="M13" s="10">
        <f t="shared" si="7"/>
        <v>24</v>
      </c>
      <c r="N13" s="10">
        <v>3</v>
      </c>
      <c r="O13" s="10">
        <v>0</v>
      </c>
      <c r="P13" s="74">
        <f t="shared" si="8"/>
        <v>21</v>
      </c>
      <c r="Q13" s="74">
        <v>5</v>
      </c>
      <c r="R13" s="28">
        <f t="shared" si="9"/>
        <v>12.5</v>
      </c>
      <c r="S13" s="1" t="s">
        <v>2</v>
      </c>
      <c r="T13" s="10">
        <v>32</v>
      </c>
      <c r="U13" s="10">
        <v>0</v>
      </c>
      <c r="V13" s="10">
        <f t="shared" si="10"/>
        <v>32</v>
      </c>
      <c r="W13" s="10">
        <v>17</v>
      </c>
      <c r="X13" s="10">
        <v>0</v>
      </c>
      <c r="Y13" s="74">
        <f t="shared" si="11"/>
        <v>15</v>
      </c>
      <c r="Z13" s="10">
        <v>9</v>
      </c>
      <c r="AA13" s="28">
        <f t="shared" si="12"/>
        <v>53.125</v>
      </c>
      <c r="AB13" s="1" t="s">
        <v>0</v>
      </c>
      <c r="AC13" s="5">
        <v>32</v>
      </c>
      <c r="AD13" s="5">
        <v>10</v>
      </c>
      <c r="AE13" s="76">
        <f t="shared" si="13"/>
        <v>42</v>
      </c>
      <c r="AF13" s="5">
        <v>23</v>
      </c>
      <c r="AG13" s="5">
        <v>0</v>
      </c>
      <c r="AH13" s="76">
        <f t="shared" si="14"/>
        <v>19</v>
      </c>
      <c r="AI13" s="5">
        <v>2</v>
      </c>
      <c r="AJ13" s="13">
        <f t="shared" si="15"/>
        <v>54.761904761904766</v>
      </c>
      <c r="AK13" s="1" t="s">
        <v>0</v>
      </c>
      <c r="AL13" s="5">
        <v>29</v>
      </c>
      <c r="AM13" s="5">
        <v>8</v>
      </c>
      <c r="AN13" s="5">
        <f t="shared" si="16"/>
        <v>37</v>
      </c>
      <c r="AO13" s="5">
        <v>23</v>
      </c>
      <c r="AP13" s="5">
        <v>0</v>
      </c>
      <c r="AQ13" s="5">
        <f t="shared" si="17"/>
        <v>14</v>
      </c>
      <c r="AR13" s="5">
        <v>2</v>
      </c>
      <c r="AS13" s="9">
        <f t="shared" si="18"/>
        <v>62.162162162162161</v>
      </c>
      <c r="AT13" t="s">
        <v>75</v>
      </c>
      <c r="AU13" s="7">
        <v>18</v>
      </c>
      <c r="AV13" s="7">
        <v>3</v>
      </c>
      <c r="AW13" s="5">
        <f t="shared" si="19"/>
        <v>21</v>
      </c>
      <c r="AX13" s="7">
        <v>18</v>
      </c>
      <c r="AY13" s="7">
        <v>0</v>
      </c>
      <c r="AZ13" s="5">
        <f t="shared" si="20"/>
        <v>3</v>
      </c>
      <c r="BA13" s="7">
        <v>0</v>
      </c>
      <c r="BB13" s="8">
        <f t="shared" si="21"/>
        <v>85.714285714285708</v>
      </c>
      <c r="BC13" s="1" t="s">
        <v>3</v>
      </c>
      <c r="BD13" s="7">
        <v>30</v>
      </c>
      <c r="BE13" s="7">
        <v>0</v>
      </c>
      <c r="BF13" s="5">
        <f t="shared" si="22"/>
        <v>30</v>
      </c>
      <c r="BG13" s="7">
        <v>4</v>
      </c>
      <c r="BH13" s="7">
        <v>0</v>
      </c>
      <c r="BI13" s="5">
        <f t="shared" si="23"/>
        <v>26</v>
      </c>
      <c r="BJ13" s="7">
        <v>0</v>
      </c>
      <c r="BK13" s="8">
        <f t="shared" si="24"/>
        <v>13.333333333333334</v>
      </c>
      <c r="BL13" s="1" t="s">
        <v>3</v>
      </c>
      <c r="BM13" s="7">
        <v>40</v>
      </c>
      <c r="BN13" s="7">
        <v>0</v>
      </c>
      <c r="BO13" s="5">
        <f t="shared" si="25"/>
        <v>40</v>
      </c>
      <c r="BP13" s="7">
        <v>7</v>
      </c>
      <c r="BQ13" s="7">
        <v>0</v>
      </c>
      <c r="BR13" s="5">
        <f t="shared" si="26"/>
        <v>33</v>
      </c>
      <c r="BS13" s="7">
        <v>0</v>
      </c>
      <c r="BT13" s="22">
        <f t="shared" si="27"/>
        <v>17.5</v>
      </c>
      <c r="BU13" s="1" t="s">
        <v>3</v>
      </c>
      <c r="BV13" s="7">
        <v>28</v>
      </c>
      <c r="BW13" s="7">
        <v>0</v>
      </c>
      <c r="BX13" s="5">
        <f t="shared" si="28"/>
        <v>28</v>
      </c>
      <c r="BY13" s="7">
        <v>6</v>
      </c>
      <c r="BZ13" s="7">
        <v>0</v>
      </c>
      <c r="CA13" s="5">
        <f t="shared" si="29"/>
        <v>22</v>
      </c>
      <c r="CB13" s="7">
        <v>1</v>
      </c>
      <c r="CC13" s="8">
        <f t="shared" ref="CC13" si="90">(BY13/BV13)*100</f>
        <v>21.428571428571427</v>
      </c>
      <c r="CD13" s="9" t="s">
        <v>3</v>
      </c>
      <c r="CE13" s="76">
        <v>37</v>
      </c>
      <c r="CF13" s="76">
        <v>4</v>
      </c>
      <c r="CG13" s="76">
        <f t="shared" si="31"/>
        <v>41</v>
      </c>
      <c r="CH13" s="76">
        <v>21</v>
      </c>
      <c r="CI13" s="76">
        <v>0</v>
      </c>
      <c r="CJ13" s="76">
        <f t="shared" si="32"/>
        <v>20</v>
      </c>
      <c r="CK13" s="76">
        <v>0</v>
      </c>
      <c r="CL13" s="23">
        <f t="shared" si="33"/>
        <v>51.219512195121951</v>
      </c>
      <c r="CM13" s="9" t="s">
        <v>0</v>
      </c>
      <c r="CN13" s="76">
        <v>42</v>
      </c>
      <c r="CO13" s="76">
        <v>5</v>
      </c>
      <c r="CP13" s="76">
        <f t="shared" si="34"/>
        <v>47</v>
      </c>
      <c r="CQ13" s="76">
        <v>25</v>
      </c>
      <c r="CR13" s="76">
        <v>1</v>
      </c>
      <c r="CS13" s="76">
        <f t="shared" si="35"/>
        <v>22</v>
      </c>
      <c r="CT13" s="76">
        <v>4</v>
      </c>
      <c r="CU13" s="9">
        <f t="shared" si="36"/>
        <v>53.191489361702125</v>
      </c>
      <c r="CV13" s="9" t="s">
        <v>3</v>
      </c>
      <c r="CW13" s="76">
        <v>51</v>
      </c>
      <c r="CX13" s="76">
        <v>20</v>
      </c>
      <c r="CY13" s="76">
        <f t="shared" si="37"/>
        <v>71</v>
      </c>
      <c r="CZ13" s="76">
        <v>37</v>
      </c>
      <c r="DA13" s="76">
        <v>0</v>
      </c>
      <c r="DB13" s="76">
        <f t="shared" si="38"/>
        <v>34</v>
      </c>
      <c r="DC13" s="76">
        <v>0</v>
      </c>
      <c r="DD13" s="23">
        <f t="shared" si="39"/>
        <v>52.112676056338024</v>
      </c>
      <c r="DE13" s="69" t="s">
        <v>0</v>
      </c>
      <c r="DF13" s="55">
        <v>16</v>
      </c>
      <c r="DG13" s="55">
        <v>0</v>
      </c>
      <c r="DH13" s="55">
        <f t="shared" si="40"/>
        <v>16</v>
      </c>
      <c r="DI13" s="55">
        <v>2</v>
      </c>
      <c r="DJ13" s="55">
        <v>0</v>
      </c>
      <c r="DK13" s="55">
        <f t="shared" si="41"/>
        <v>14</v>
      </c>
      <c r="DL13" s="55">
        <v>5</v>
      </c>
      <c r="DM13" s="36">
        <f t="shared" si="42"/>
        <v>12.5</v>
      </c>
      <c r="DN13" s="1" t="s">
        <v>1</v>
      </c>
      <c r="DO13">
        <v>28</v>
      </c>
      <c r="DP13">
        <v>0</v>
      </c>
      <c r="DQ13">
        <f t="shared" si="43"/>
        <v>28</v>
      </c>
      <c r="DR13">
        <v>1</v>
      </c>
      <c r="DS13">
        <v>0</v>
      </c>
      <c r="DT13">
        <f t="shared" si="44"/>
        <v>27</v>
      </c>
      <c r="DU13">
        <v>28</v>
      </c>
      <c r="DV13" s="11">
        <f t="shared" si="45"/>
        <v>3.5714285714285712</v>
      </c>
      <c r="DW13" s="68" t="s">
        <v>3</v>
      </c>
      <c r="DX13" s="39">
        <v>12</v>
      </c>
      <c r="DY13" s="39">
        <v>0</v>
      </c>
      <c r="DZ13" s="55">
        <f t="shared" si="46"/>
        <v>12</v>
      </c>
      <c r="EA13" s="39">
        <v>5</v>
      </c>
      <c r="EB13" s="39">
        <v>0</v>
      </c>
      <c r="EC13" s="55">
        <f t="shared" si="47"/>
        <v>7</v>
      </c>
      <c r="ED13" s="39">
        <v>2</v>
      </c>
      <c r="EE13" s="37">
        <f t="shared" si="48"/>
        <v>41.666666666666671</v>
      </c>
      <c r="EF13" s="68" t="s">
        <v>3</v>
      </c>
      <c r="EG13" s="35">
        <v>15</v>
      </c>
      <c r="EH13" s="35">
        <v>1</v>
      </c>
      <c r="EI13" s="34">
        <f t="shared" si="49"/>
        <v>16</v>
      </c>
      <c r="EJ13" s="35">
        <v>11</v>
      </c>
      <c r="EK13" s="35">
        <v>0</v>
      </c>
      <c r="EL13" s="34">
        <f t="shared" si="50"/>
        <v>5</v>
      </c>
      <c r="EM13" s="35">
        <v>0</v>
      </c>
      <c r="EN13" s="37">
        <f t="shared" ref="EN13:EN42" si="91">(EJ13/(EG13+EH13))*100</f>
        <v>68.75</v>
      </c>
      <c r="EO13" s="68" t="s">
        <v>3</v>
      </c>
      <c r="EP13" s="35">
        <v>4</v>
      </c>
      <c r="EQ13" s="35">
        <v>0</v>
      </c>
      <c r="ER13" s="34">
        <f t="shared" si="52"/>
        <v>4</v>
      </c>
      <c r="ES13" s="35">
        <v>4</v>
      </c>
      <c r="ET13" s="35">
        <v>0</v>
      </c>
      <c r="EU13" s="34">
        <f t="shared" si="53"/>
        <v>0</v>
      </c>
      <c r="EV13" s="35">
        <v>1</v>
      </c>
      <c r="EW13" s="38">
        <f t="shared" ref="EW13:EW37" si="92">(ES13/(EP13+EQ13))*100</f>
        <v>100</v>
      </c>
      <c r="EX13" s="68" t="s">
        <v>3</v>
      </c>
      <c r="EY13" s="35">
        <v>15</v>
      </c>
      <c r="EZ13" s="35">
        <v>2</v>
      </c>
      <c r="FA13" s="56">
        <f t="shared" si="55"/>
        <v>17</v>
      </c>
      <c r="FB13" s="35">
        <v>12</v>
      </c>
      <c r="FC13" s="35">
        <v>0</v>
      </c>
      <c r="FD13" s="56">
        <f t="shared" si="56"/>
        <v>5</v>
      </c>
      <c r="FE13" s="35">
        <v>0</v>
      </c>
      <c r="FF13" s="37">
        <f t="shared" ref="FF13:FF37" si="93">(FB13/(EY13+EZ13))*100</f>
        <v>70.588235294117652</v>
      </c>
      <c r="FG13" s="36" t="s">
        <v>75</v>
      </c>
      <c r="FH13" s="39">
        <v>39</v>
      </c>
      <c r="FI13" s="39">
        <v>0</v>
      </c>
      <c r="FJ13" s="7">
        <f t="shared" si="58"/>
        <v>39</v>
      </c>
      <c r="FK13" s="39">
        <v>2</v>
      </c>
      <c r="FL13" s="39">
        <v>0</v>
      </c>
      <c r="FM13" s="7">
        <f t="shared" si="59"/>
        <v>37</v>
      </c>
      <c r="FN13" s="39">
        <v>15</v>
      </c>
      <c r="FO13" s="37">
        <f t="shared" si="0"/>
        <v>5.1282051282051277</v>
      </c>
      <c r="FP13" s="68" t="s">
        <v>3</v>
      </c>
      <c r="FQ13" s="78">
        <v>58</v>
      </c>
      <c r="FR13" s="39">
        <v>0</v>
      </c>
      <c r="FS13" s="39">
        <f t="shared" si="60"/>
        <v>58</v>
      </c>
      <c r="FT13" s="78">
        <v>36</v>
      </c>
      <c r="FU13" s="39">
        <v>0</v>
      </c>
      <c r="FV13" s="39">
        <f t="shared" si="61"/>
        <v>22</v>
      </c>
      <c r="FW13" s="78">
        <v>14</v>
      </c>
      <c r="FX13" s="37">
        <f t="shared" si="62"/>
        <v>62.068965517241381</v>
      </c>
      <c r="FY13" s="68" t="s">
        <v>3</v>
      </c>
      <c r="FZ13" s="63">
        <v>24</v>
      </c>
      <c r="GA13" s="39">
        <v>0</v>
      </c>
      <c r="GB13" s="90">
        <f t="shared" si="63"/>
        <v>24</v>
      </c>
      <c r="GC13" s="63">
        <v>7</v>
      </c>
      <c r="GD13" s="39">
        <v>0</v>
      </c>
      <c r="GE13" s="90">
        <f t="shared" si="64"/>
        <v>17</v>
      </c>
      <c r="GF13" s="63">
        <v>12</v>
      </c>
      <c r="GG13" s="37">
        <f t="shared" si="1"/>
        <v>29.166666666666668</v>
      </c>
      <c r="GH13" s="68" t="s">
        <v>3</v>
      </c>
      <c r="GI13" s="39">
        <v>16</v>
      </c>
      <c r="GJ13" s="39">
        <v>8</v>
      </c>
      <c r="GK13" s="39">
        <f t="shared" si="65"/>
        <v>24</v>
      </c>
      <c r="GL13" s="39">
        <v>10</v>
      </c>
      <c r="GM13" s="39">
        <v>0</v>
      </c>
      <c r="GN13" s="39">
        <f t="shared" si="66"/>
        <v>14</v>
      </c>
      <c r="GO13" s="39">
        <v>0</v>
      </c>
      <c r="GP13" s="37">
        <f t="shared" si="67"/>
        <v>41.666666666666671</v>
      </c>
      <c r="GQ13" s="68" t="s">
        <v>3</v>
      </c>
      <c r="GR13" s="64">
        <v>33</v>
      </c>
      <c r="GS13" s="64">
        <v>5</v>
      </c>
      <c r="GT13" s="64">
        <f t="shared" si="68"/>
        <v>38</v>
      </c>
      <c r="GU13" s="64">
        <v>32</v>
      </c>
      <c r="GV13" s="64">
        <v>0</v>
      </c>
      <c r="GW13" s="64">
        <f t="shared" si="69"/>
        <v>6</v>
      </c>
      <c r="GX13" s="64">
        <v>2</v>
      </c>
      <c r="GY13" s="66">
        <f t="shared" si="70"/>
        <v>84.210526315789465</v>
      </c>
      <c r="GZ13" s="68" t="s">
        <v>3</v>
      </c>
      <c r="HA13" s="64">
        <v>25</v>
      </c>
      <c r="HB13" s="64">
        <v>3</v>
      </c>
      <c r="HC13" s="64">
        <f t="shared" si="71"/>
        <v>28</v>
      </c>
      <c r="HD13" s="64">
        <v>16</v>
      </c>
      <c r="HE13" s="64">
        <v>0</v>
      </c>
      <c r="HF13" s="64">
        <f t="shared" si="72"/>
        <v>12</v>
      </c>
      <c r="HG13" s="64">
        <v>5</v>
      </c>
      <c r="HH13" s="66">
        <f t="shared" si="2"/>
        <v>57.142857142857139</v>
      </c>
      <c r="HI13" s="5" t="s">
        <v>0</v>
      </c>
      <c r="HJ13" s="5">
        <v>52</v>
      </c>
      <c r="HK13" s="5">
        <v>0</v>
      </c>
      <c r="HL13" s="3">
        <f t="shared" si="73"/>
        <v>52</v>
      </c>
      <c r="HM13" s="5">
        <v>14</v>
      </c>
      <c r="HN13" s="5">
        <v>0</v>
      </c>
      <c r="HO13" s="3">
        <f t="shared" si="74"/>
        <v>38</v>
      </c>
      <c r="HP13" s="5">
        <v>14</v>
      </c>
      <c r="HQ13" s="23">
        <f t="shared" si="3"/>
        <v>26.923076923076923</v>
      </c>
      <c r="HR13" s="5" t="s">
        <v>0</v>
      </c>
      <c r="HS13" s="5">
        <v>35</v>
      </c>
      <c r="HT13" s="5">
        <v>0</v>
      </c>
      <c r="HU13" s="3">
        <f t="shared" si="75"/>
        <v>35</v>
      </c>
      <c r="HV13" s="5">
        <v>22</v>
      </c>
      <c r="HW13" s="5">
        <v>0</v>
      </c>
      <c r="HX13" s="3">
        <f t="shared" si="76"/>
        <v>13</v>
      </c>
      <c r="HY13" s="5">
        <v>8</v>
      </c>
      <c r="HZ13" s="23">
        <f t="shared" si="77"/>
        <v>62.857142857142854</v>
      </c>
      <c r="IA13" s="65" t="s">
        <v>0</v>
      </c>
      <c r="IB13" s="5">
        <v>24</v>
      </c>
      <c r="IC13" s="5">
        <v>0</v>
      </c>
      <c r="ID13" s="3">
        <f t="shared" si="78"/>
        <v>24</v>
      </c>
      <c r="IE13" s="5">
        <v>10</v>
      </c>
      <c r="IF13" s="5">
        <v>0</v>
      </c>
      <c r="IG13" s="3">
        <f t="shared" si="79"/>
        <v>14</v>
      </c>
      <c r="IH13" s="5">
        <v>7</v>
      </c>
      <c r="II13" s="23">
        <f t="shared" si="80"/>
        <v>41.666666666666671</v>
      </c>
      <c r="IJ13" s="65" t="s">
        <v>0</v>
      </c>
      <c r="IK13" s="5">
        <v>21</v>
      </c>
      <c r="IL13" s="5">
        <v>3</v>
      </c>
      <c r="IM13" s="3">
        <f t="shared" si="81"/>
        <v>24</v>
      </c>
      <c r="IN13" s="5">
        <v>13</v>
      </c>
      <c r="IO13" s="5">
        <v>0</v>
      </c>
      <c r="IP13" s="3">
        <f t="shared" si="82"/>
        <v>11</v>
      </c>
      <c r="IQ13" s="5">
        <v>2</v>
      </c>
      <c r="IR13" s="23">
        <f t="shared" si="83"/>
        <v>54.166666666666664</v>
      </c>
      <c r="IS13" s="65" t="s">
        <v>0</v>
      </c>
      <c r="IT13" s="5">
        <v>18</v>
      </c>
      <c r="IU13" s="5">
        <v>2</v>
      </c>
      <c r="IV13" s="3">
        <f t="shared" si="84"/>
        <v>20</v>
      </c>
      <c r="IW13" s="5">
        <v>13</v>
      </c>
      <c r="IX13" s="5">
        <v>0</v>
      </c>
      <c r="IY13" s="3">
        <f t="shared" si="85"/>
        <v>7</v>
      </c>
      <c r="IZ13" s="5">
        <v>0</v>
      </c>
      <c r="JA13" s="23">
        <f t="shared" si="86"/>
        <v>65</v>
      </c>
      <c r="JB13" s="39" t="s">
        <v>75</v>
      </c>
      <c r="JC13" s="39">
        <v>17</v>
      </c>
      <c r="JD13" s="39">
        <v>1</v>
      </c>
      <c r="JE13" s="5">
        <f t="shared" si="87"/>
        <v>18</v>
      </c>
      <c r="JF13" s="39">
        <v>12</v>
      </c>
      <c r="JG13" s="39">
        <v>0</v>
      </c>
      <c r="JH13" s="5">
        <f t="shared" si="88"/>
        <v>6</v>
      </c>
      <c r="JI13" s="39">
        <v>4</v>
      </c>
      <c r="JJ13" s="40">
        <f t="shared" si="89"/>
        <v>66.666666666666657</v>
      </c>
    </row>
    <row r="14" spans="1:270" x14ac:dyDescent="0.2">
      <c r="A14" s="1" t="s">
        <v>2</v>
      </c>
      <c r="B14" s="71">
        <v>30</v>
      </c>
      <c r="C14" s="72">
        <v>0</v>
      </c>
      <c r="D14" s="72">
        <f t="shared" si="4"/>
        <v>30</v>
      </c>
      <c r="E14" s="72">
        <v>5</v>
      </c>
      <c r="F14" s="72">
        <v>0</v>
      </c>
      <c r="G14" s="72">
        <f t="shared" si="5"/>
        <v>25</v>
      </c>
      <c r="H14" s="72">
        <v>2</v>
      </c>
      <c r="I14" s="27">
        <f t="shared" si="6"/>
        <v>16.666666666666664</v>
      </c>
      <c r="J14" s="1" t="s">
        <v>2</v>
      </c>
      <c r="K14" s="10">
        <v>52</v>
      </c>
      <c r="L14" s="10">
        <v>0</v>
      </c>
      <c r="M14" s="10">
        <f t="shared" si="7"/>
        <v>52</v>
      </c>
      <c r="N14" s="10">
        <v>16</v>
      </c>
      <c r="O14" s="10">
        <v>0</v>
      </c>
      <c r="P14" s="74">
        <f t="shared" si="8"/>
        <v>36</v>
      </c>
      <c r="Q14" s="74">
        <v>8</v>
      </c>
      <c r="R14" s="28">
        <f t="shared" si="9"/>
        <v>30.76923076923077</v>
      </c>
      <c r="S14" s="1" t="s">
        <v>2</v>
      </c>
      <c r="T14" s="10">
        <v>34</v>
      </c>
      <c r="U14" s="10">
        <v>0</v>
      </c>
      <c r="V14" s="10">
        <f t="shared" si="10"/>
        <v>34</v>
      </c>
      <c r="W14" s="10">
        <v>16</v>
      </c>
      <c r="X14" s="10">
        <v>0</v>
      </c>
      <c r="Y14" s="74">
        <f t="shared" si="11"/>
        <v>18</v>
      </c>
      <c r="Z14" s="10">
        <v>0</v>
      </c>
      <c r="AA14" s="28">
        <f t="shared" si="12"/>
        <v>47.058823529411761</v>
      </c>
      <c r="AB14" s="1" t="s">
        <v>0</v>
      </c>
      <c r="AC14" s="5">
        <v>29</v>
      </c>
      <c r="AD14" s="5">
        <v>3</v>
      </c>
      <c r="AE14" s="76">
        <f t="shared" si="13"/>
        <v>32</v>
      </c>
      <c r="AF14" s="5">
        <v>27</v>
      </c>
      <c r="AG14" s="5">
        <v>0</v>
      </c>
      <c r="AH14" s="76">
        <f t="shared" si="14"/>
        <v>5</v>
      </c>
      <c r="AI14" s="5">
        <v>0</v>
      </c>
      <c r="AJ14" s="13">
        <f t="shared" si="15"/>
        <v>84.375</v>
      </c>
      <c r="AK14" s="1" t="s">
        <v>0</v>
      </c>
      <c r="AL14" s="5">
        <v>22</v>
      </c>
      <c r="AM14" s="5">
        <v>11</v>
      </c>
      <c r="AN14" s="5">
        <f t="shared" si="16"/>
        <v>33</v>
      </c>
      <c r="AO14" s="5">
        <v>19</v>
      </c>
      <c r="AP14" s="5">
        <v>0</v>
      </c>
      <c r="AQ14" s="5">
        <f t="shared" si="17"/>
        <v>14</v>
      </c>
      <c r="AR14" s="5">
        <v>1</v>
      </c>
      <c r="AS14" s="9">
        <f t="shared" si="18"/>
        <v>57.575757575757578</v>
      </c>
      <c r="AT14" t="s">
        <v>75</v>
      </c>
      <c r="AU14" s="7">
        <v>20</v>
      </c>
      <c r="AV14" s="7">
        <v>3</v>
      </c>
      <c r="AW14" s="5">
        <f t="shared" si="19"/>
        <v>23</v>
      </c>
      <c r="AX14" s="7">
        <v>14</v>
      </c>
      <c r="AY14" s="7">
        <v>0</v>
      </c>
      <c r="AZ14" s="5">
        <f t="shared" si="20"/>
        <v>9</v>
      </c>
      <c r="BA14" s="7">
        <v>1</v>
      </c>
      <c r="BB14" s="8">
        <f t="shared" si="21"/>
        <v>60.869565217391312</v>
      </c>
      <c r="BC14" s="1" t="s">
        <v>3</v>
      </c>
      <c r="BD14" s="7">
        <v>33</v>
      </c>
      <c r="BE14" s="7">
        <v>0</v>
      </c>
      <c r="BF14" s="5">
        <f t="shared" si="22"/>
        <v>33</v>
      </c>
      <c r="BG14" s="7">
        <v>1</v>
      </c>
      <c r="BH14" s="7">
        <v>0</v>
      </c>
      <c r="BI14" s="5">
        <f t="shared" si="23"/>
        <v>32</v>
      </c>
      <c r="BJ14" s="7">
        <v>1</v>
      </c>
      <c r="BK14" s="8">
        <f t="shared" si="24"/>
        <v>3.0303030303030303</v>
      </c>
      <c r="BL14" s="1" t="s">
        <v>3</v>
      </c>
      <c r="BM14" s="7">
        <v>46</v>
      </c>
      <c r="BN14" s="7">
        <v>0</v>
      </c>
      <c r="BO14" s="5">
        <f t="shared" si="25"/>
        <v>46</v>
      </c>
      <c r="BP14" s="7">
        <v>1</v>
      </c>
      <c r="BQ14" s="7">
        <v>0</v>
      </c>
      <c r="BR14" s="5">
        <f t="shared" si="26"/>
        <v>45</v>
      </c>
      <c r="BS14" s="7">
        <v>0</v>
      </c>
      <c r="BT14" s="22">
        <f t="shared" si="27"/>
        <v>2.1739130434782608</v>
      </c>
      <c r="BU14" s="1" t="s">
        <v>3</v>
      </c>
      <c r="BV14" s="7">
        <v>41</v>
      </c>
      <c r="BW14" s="7">
        <v>0</v>
      </c>
      <c r="BX14" s="5">
        <f t="shared" si="28"/>
        <v>41</v>
      </c>
      <c r="BY14" s="7">
        <v>11</v>
      </c>
      <c r="BZ14" s="7">
        <v>0</v>
      </c>
      <c r="CA14" s="5">
        <f t="shared" si="29"/>
        <v>30</v>
      </c>
      <c r="CB14" s="7">
        <v>2</v>
      </c>
      <c r="CC14" s="8">
        <f>(BY14/BV14)*100</f>
        <v>26.829268292682929</v>
      </c>
      <c r="CD14" s="9" t="s">
        <v>3</v>
      </c>
      <c r="CE14" s="76">
        <v>15</v>
      </c>
      <c r="CF14" s="76">
        <v>12</v>
      </c>
      <c r="CG14" s="76">
        <f t="shared" si="31"/>
        <v>27</v>
      </c>
      <c r="CH14" s="76">
        <v>9</v>
      </c>
      <c r="CI14" s="76">
        <v>0</v>
      </c>
      <c r="CJ14" s="76">
        <f t="shared" si="32"/>
        <v>18</v>
      </c>
      <c r="CK14" s="76">
        <v>1</v>
      </c>
      <c r="CL14" s="23">
        <f t="shared" si="33"/>
        <v>33.333333333333329</v>
      </c>
      <c r="CM14" s="9" t="s">
        <v>0</v>
      </c>
      <c r="CN14" s="76">
        <v>48</v>
      </c>
      <c r="CO14" s="76">
        <v>7</v>
      </c>
      <c r="CP14" s="76">
        <f t="shared" si="34"/>
        <v>55</v>
      </c>
      <c r="CQ14" s="76">
        <v>44</v>
      </c>
      <c r="CR14" s="76">
        <v>0</v>
      </c>
      <c r="CS14" s="76">
        <f t="shared" si="35"/>
        <v>11</v>
      </c>
      <c r="CT14" s="76">
        <v>2</v>
      </c>
      <c r="CU14" s="9">
        <f t="shared" si="36"/>
        <v>80</v>
      </c>
      <c r="CV14" s="9" t="s">
        <v>3</v>
      </c>
      <c r="CW14" s="76">
        <v>31</v>
      </c>
      <c r="CX14" s="76">
        <v>21</v>
      </c>
      <c r="CY14" s="76">
        <f t="shared" si="37"/>
        <v>52</v>
      </c>
      <c r="CZ14" s="76">
        <v>27</v>
      </c>
      <c r="DA14" s="76">
        <v>0</v>
      </c>
      <c r="DB14" s="76">
        <f t="shared" si="38"/>
        <v>25</v>
      </c>
      <c r="DC14" s="76">
        <v>0</v>
      </c>
      <c r="DD14" s="23">
        <f t="shared" si="39"/>
        <v>51.923076923076927</v>
      </c>
      <c r="DE14" s="69" t="s">
        <v>0</v>
      </c>
      <c r="DF14" s="55">
        <v>21</v>
      </c>
      <c r="DG14" s="55">
        <v>0</v>
      </c>
      <c r="DH14" s="55">
        <f t="shared" si="40"/>
        <v>21</v>
      </c>
      <c r="DI14" s="55">
        <v>2</v>
      </c>
      <c r="DJ14" s="55">
        <v>0</v>
      </c>
      <c r="DK14" s="55">
        <f t="shared" si="41"/>
        <v>19</v>
      </c>
      <c r="DL14" s="55">
        <v>16</v>
      </c>
      <c r="DM14" s="36">
        <f t="shared" si="42"/>
        <v>9.5238095238095237</v>
      </c>
      <c r="DN14" s="1" t="s">
        <v>1</v>
      </c>
      <c r="DO14">
        <v>36</v>
      </c>
      <c r="DP14">
        <v>0</v>
      </c>
      <c r="DQ14">
        <f t="shared" si="43"/>
        <v>36</v>
      </c>
      <c r="DR14">
        <v>2</v>
      </c>
      <c r="DS14">
        <v>0</v>
      </c>
      <c r="DT14">
        <f t="shared" si="44"/>
        <v>34</v>
      </c>
      <c r="DU14">
        <v>23</v>
      </c>
      <c r="DV14" s="11">
        <f t="shared" si="45"/>
        <v>5.5555555555555554</v>
      </c>
      <c r="DW14" s="68" t="s">
        <v>3</v>
      </c>
      <c r="DX14" s="39">
        <v>14</v>
      </c>
      <c r="DY14" s="39">
        <v>0</v>
      </c>
      <c r="DZ14" s="55">
        <f t="shared" si="46"/>
        <v>14</v>
      </c>
      <c r="EA14" s="39">
        <v>8</v>
      </c>
      <c r="EB14" s="39">
        <v>0</v>
      </c>
      <c r="EC14" s="55">
        <f t="shared" si="47"/>
        <v>6</v>
      </c>
      <c r="ED14" s="39">
        <v>2</v>
      </c>
      <c r="EE14" s="37">
        <f t="shared" si="48"/>
        <v>57.142857142857139</v>
      </c>
      <c r="EF14" s="68" t="s">
        <v>3</v>
      </c>
      <c r="EG14" s="35">
        <v>14</v>
      </c>
      <c r="EH14" s="35">
        <v>0</v>
      </c>
      <c r="EI14" s="34">
        <f t="shared" si="49"/>
        <v>14</v>
      </c>
      <c r="EJ14" s="35">
        <v>13</v>
      </c>
      <c r="EK14" s="35">
        <v>0</v>
      </c>
      <c r="EL14" s="34">
        <f t="shared" si="50"/>
        <v>1</v>
      </c>
      <c r="EM14" s="35">
        <v>0</v>
      </c>
      <c r="EN14" s="37">
        <f t="shared" si="91"/>
        <v>92.857142857142861</v>
      </c>
      <c r="EO14" s="68" t="s">
        <v>3</v>
      </c>
      <c r="EP14" s="35">
        <v>5</v>
      </c>
      <c r="EQ14" s="35">
        <v>0</v>
      </c>
      <c r="ER14" s="34">
        <f t="shared" si="52"/>
        <v>5</v>
      </c>
      <c r="ES14" s="35">
        <v>5</v>
      </c>
      <c r="ET14" s="35">
        <v>0</v>
      </c>
      <c r="EU14" s="34">
        <f t="shared" si="53"/>
        <v>0</v>
      </c>
      <c r="EV14" s="35">
        <v>0</v>
      </c>
      <c r="EW14" s="38">
        <f t="shared" si="92"/>
        <v>100</v>
      </c>
      <c r="EX14" s="68" t="s">
        <v>3</v>
      </c>
      <c r="EY14" s="35">
        <v>11</v>
      </c>
      <c r="EZ14" s="35">
        <v>0</v>
      </c>
      <c r="FA14" s="56">
        <f t="shared" si="55"/>
        <v>11</v>
      </c>
      <c r="FB14" s="35">
        <v>10</v>
      </c>
      <c r="FC14" s="35">
        <v>0</v>
      </c>
      <c r="FD14" s="56">
        <f t="shared" si="56"/>
        <v>1</v>
      </c>
      <c r="FE14" s="35">
        <v>0</v>
      </c>
      <c r="FF14" s="37">
        <f t="shared" si="93"/>
        <v>90.909090909090907</v>
      </c>
      <c r="FG14" s="36" t="s">
        <v>75</v>
      </c>
      <c r="FH14" s="39">
        <v>36</v>
      </c>
      <c r="FI14" s="39">
        <v>0</v>
      </c>
      <c r="FJ14" s="7">
        <f t="shared" si="58"/>
        <v>36</v>
      </c>
      <c r="FK14" s="39">
        <v>0</v>
      </c>
      <c r="FL14" s="39">
        <v>0</v>
      </c>
      <c r="FM14" s="7">
        <f t="shared" si="59"/>
        <v>36</v>
      </c>
      <c r="FN14" s="39">
        <v>19</v>
      </c>
      <c r="FO14" s="37">
        <f t="shared" si="0"/>
        <v>0</v>
      </c>
      <c r="FP14" s="68" t="s">
        <v>3</v>
      </c>
      <c r="FQ14" s="78">
        <v>44</v>
      </c>
      <c r="FR14" s="39">
        <v>0</v>
      </c>
      <c r="FS14" s="39">
        <f t="shared" si="60"/>
        <v>44</v>
      </c>
      <c r="FT14" s="78">
        <v>26</v>
      </c>
      <c r="FU14" s="39">
        <v>0</v>
      </c>
      <c r="FV14" s="39">
        <f t="shared" si="61"/>
        <v>18</v>
      </c>
      <c r="FW14" s="78">
        <v>14</v>
      </c>
      <c r="FX14" s="37">
        <f t="shared" si="62"/>
        <v>59.090909090909093</v>
      </c>
      <c r="FY14" s="68" t="s">
        <v>182</v>
      </c>
      <c r="FZ14" s="63">
        <v>32</v>
      </c>
      <c r="GA14" s="39">
        <v>0</v>
      </c>
      <c r="GB14" s="90">
        <f t="shared" si="63"/>
        <v>32</v>
      </c>
      <c r="GC14" s="63">
        <v>12</v>
      </c>
      <c r="GD14" s="39">
        <v>0</v>
      </c>
      <c r="GE14" s="90">
        <f t="shared" si="64"/>
        <v>20</v>
      </c>
      <c r="GF14" s="63">
        <v>6</v>
      </c>
      <c r="GG14" s="37">
        <f t="shared" si="1"/>
        <v>37.5</v>
      </c>
      <c r="GH14" s="36" t="s">
        <v>75</v>
      </c>
      <c r="GI14" s="39">
        <v>30</v>
      </c>
      <c r="GJ14" s="39">
        <v>6</v>
      </c>
      <c r="GK14" s="39">
        <f t="shared" si="65"/>
        <v>36</v>
      </c>
      <c r="GL14" s="39">
        <v>28</v>
      </c>
      <c r="GM14" s="39">
        <v>0</v>
      </c>
      <c r="GN14" s="39">
        <f t="shared" si="66"/>
        <v>8</v>
      </c>
      <c r="GO14" s="39">
        <v>2</v>
      </c>
      <c r="GP14" s="37">
        <f t="shared" si="67"/>
        <v>77.777777777777786</v>
      </c>
      <c r="GQ14" s="68" t="s">
        <v>3</v>
      </c>
      <c r="GR14" s="64">
        <v>60</v>
      </c>
      <c r="GS14" s="64">
        <v>7</v>
      </c>
      <c r="GT14" s="64">
        <f t="shared" si="68"/>
        <v>67</v>
      </c>
      <c r="GU14" s="64">
        <v>60</v>
      </c>
      <c r="GV14" s="64">
        <v>0</v>
      </c>
      <c r="GW14" s="64">
        <f t="shared" si="69"/>
        <v>7</v>
      </c>
      <c r="GX14" s="64">
        <v>5</v>
      </c>
      <c r="GY14" s="66">
        <f t="shared" si="70"/>
        <v>89.552238805970148</v>
      </c>
      <c r="GZ14" s="36" t="s">
        <v>75</v>
      </c>
      <c r="HA14" s="64">
        <v>9</v>
      </c>
      <c r="HB14" s="64">
        <v>1</v>
      </c>
      <c r="HC14" s="64">
        <f t="shared" si="71"/>
        <v>10</v>
      </c>
      <c r="HD14" s="64">
        <v>2</v>
      </c>
      <c r="HE14" s="64">
        <v>0</v>
      </c>
      <c r="HF14" s="64">
        <f t="shared" si="72"/>
        <v>8</v>
      </c>
      <c r="HG14" s="64">
        <v>2</v>
      </c>
      <c r="HH14" s="66">
        <f t="shared" si="2"/>
        <v>20</v>
      </c>
      <c r="HI14" s="5" t="s">
        <v>0</v>
      </c>
      <c r="HJ14" s="5">
        <v>45</v>
      </c>
      <c r="HK14" s="5">
        <v>0</v>
      </c>
      <c r="HL14" s="3">
        <f t="shared" si="73"/>
        <v>45</v>
      </c>
      <c r="HM14" s="5">
        <v>13</v>
      </c>
      <c r="HN14" s="5">
        <v>0</v>
      </c>
      <c r="HO14" s="3">
        <f t="shared" si="74"/>
        <v>32</v>
      </c>
      <c r="HP14" s="5">
        <v>14</v>
      </c>
      <c r="HQ14" s="23">
        <f t="shared" si="3"/>
        <v>28.888888888888886</v>
      </c>
      <c r="HR14" s="5" t="s">
        <v>0</v>
      </c>
      <c r="HS14" s="5">
        <v>37</v>
      </c>
      <c r="HT14" s="5">
        <v>0</v>
      </c>
      <c r="HU14" s="3">
        <f t="shared" si="75"/>
        <v>37</v>
      </c>
      <c r="HV14" s="5">
        <v>16</v>
      </c>
      <c r="HW14" s="5">
        <v>0</v>
      </c>
      <c r="HX14" s="3">
        <f t="shared" si="76"/>
        <v>21</v>
      </c>
      <c r="HY14" s="5">
        <v>10</v>
      </c>
      <c r="HZ14" s="23">
        <f t="shared" si="77"/>
        <v>43.243243243243242</v>
      </c>
      <c r="IA14" s="39" t="s">
        <v>75</v>
      </c>
      <c r="IB14" s="39">
        <v>15</v>
      </c>
      <c r="IC14" s="39">
        <v>0</v>
      </c>
      <c r="ID14" s="3">
        <f t="shared" si="78"/>
        <v>15</v>
      </c>
      <c r="IE14" s="39">
        <v>9</v>
      </c>
      <c r="IF14" s="39">
        <v>0</v>
      </c>
      <c r="IG14" s="3">
        <f t="shared" si="79"/>
        <v>6</v>
      </c>
      <c r="IH14" s="39">
        <v>12</v>
      </c>
      <c r="II14" s="40">
        <f t="shared" si="80"/>
        <v>60</v>
      </c>
      <c r="IJ14" s="65" t="s">
        <v>0</v>
      </c>
      <c r="IK14" s="5">
        <v>23</v>
      </c>
      <c r="IL14" s="5">
        <v>4</v>
      </c>
      <c r="IM14" s="3">
        <f t="shared" si="81"/>
        <v>27</v>
      </c>
      <c r="IN14" s="5">
        <v>14</v>
      </c>
      <c r="IO14" s="5">
        <v>0</v>
      </c>
      <c r="IP14" s="3">
        <f t="shared" si="82"/>
        <v>13</v>
      </c>
      <c r="IQ14" s="5">
        <v>4</v>
      </c>
      <c r="IR14" s="23">
        <f t="shared" si="83"/>
        <v>51.851851851851848</v>
      </c>
      <c r="IS14" s="65" t="s">
        <v>0</v>
      </c>
      <c r="IT14" s="5">
        <v>18</v>
      </c>
      <c r="IU14" s="5">
        <v>4</v>
      </c>
      <c r="IV14" s="3">
        <f t="shared" si="84"/>
        <v>22</v>
      </c>
      <c r="IW14" s="5">
        <v>12</v>
      </c>
      <c r="IX14" s="5">
        <v>0</v>
      </c>
      <c r="IY14" s="3">
        <f t="shared" si="85"/>
        <v>10</v>
      </c>
      <c r="IZ14" s="5">
        <v>0</v>
      </c>
      <c r="JA14" s="23">
        <f t="shared" si="86"/>
        <v>54.54545454545454</v>
      </c>
      <c r="JB14" s="39" t="s">
        <v>75</v>
      </c>
      <c r="JC14" s="39">
        <v>20</v>
      </c>
      <c r="JD14" s="39">
        <v>2</v>
      </c>
      <c r="JE14" s="5">
        <f t="shared" si="87"/>
        <v>22</v>
      </c>
      <c r="JF14" s="39">
        <v>14</v>
      </c>
      <c r="JG14" s="39">
        <v>0</v>
      </c>
      <c r="JH14" s="5">
        <f t="shared" si="88"/>
        <v>8</v>
      </c>
      <c r="JI14" s="39">
        <v>2</v>
      </c>
      <c r="JJ14" s="40">
        <f t="shared" si="89"/>
        <v>63.636363636363633</v>
      </c>
    </row>
    <row r="15" spans="1:270" x14ac:dyDescent="0.2">
      <c r="A15" s="1" t="s">
        <v>2</v>
      </c>
      <c r="B15" s="71">
        <v>35</v>
      </c>
      <c r="C15" s="72">
        <v>0</v>
      </c>
      <c r="D15" s="72">
        <f t="shared" si="4"/>
        <v>35</v>
      </c>
      <c r="E15" s="72">
        <v>7</v>
      </c>
      <c r="F15" s="72">
        <v>0</v>
      </c>
      <c r="G15" s="72">
        <f t="shared" si="5"/>
        <v>28</v>
      </c>
      <c r="H15" s="72">
        <v>8</v>
      </c>
      <c r="I15" s="27">
        <f t="shared" si="6"/>
        <v>20</v>
      </c>
      <c r="J15" s="1" t="s">
        <v>0</v>
      </c>
      <c r="K15" s="5">
        <v>38</v>
      </c>
      <c r="L15" s="5">
        <v>0</v>
      </c>
      <c r="M15" s="10">
        <f t="shared" si="7"/>
        <v>38</v>
      </c>
      <c r="N15" s="5">
        <v>12</v>
      </c>
      <c r="O15" s="5">
        <v>0</v>
      </c>
      <c r="P15" s="74">
        <f t="shared" si="8"/>
        <v>26</v>
      </c>
      <c r="Q15" s="76">
        <v>7</v>
      </c>
      <c r="R15" s="9">
        <f t="shared" ref="R15:R24" si="94">(N15/K15)*100</f>
        <v>31.578947368421051</v>
      </c>
      <c r="S15" s="1" t="s">
        <v>2</v>
      </c>
      <c r="T15" s="10">
        <v>21</v>
      </c>
      <c r="U15" s="10">
        <v>0</v>
      </c>
      <c r="V15" s="10">
        <f t="shared" si="10"/>
        <v>21</v>
      </c>
      <c r="W15" s="10">
        <v>10</v>
      </c>
      <c r="X15" s="10">
        <v>0</v>
      </c>
      <c r="Y15" s="74">
        <f t="shared" si="11"/>
        <v>11</v>
      </c>
      <c r="Z15" s="10">
        <v>6</v>
      </c>
      <c r="AA15" s="28">
        <f t="shared" si="12"/>
        <v>47.619047619047613</v>
      </c>
      <c r="AB15" s="1" t="s">
        <v>0</v>
      </c>
      <c r="AC15" s="5">
        <v>19</v>
      </c>
      <c r="AD15" s="5">
        <v>4</v>
      </c>
      <c r="AE15" s="76">
        <f t="shared" si="13"/>
        <v>23</v>
      </c>
      <c r="AF15" s="5">
        <v>16</v>
      </c>
      <c r="AG15" s="5">
        <v>0</v>
      </c>
      <c r="AH15" s="76">
        <f t="shared" si="14"/>
        <v>7</v>
      </c>
      <c r="AI15" s="5">
        <v>0</v>
      </c>
      <c r="AJ15" s="13">
        <f t="shared" si="15"/>
        <v>69.565217391304344</v>
      </c>
      <c r="AK15" s="1" t="s">
        <v>0</v>
      </c>
      <c r="AL15" s="12">
        <v>19</v>
      </c>
      <c r="AM15" s="12">
        <v>14</v>
      </c>
      <c r="AN15" s="5">
        <f t="shared" si="16"/>
        <v>33</v>
      </c>
      <c r="AO15" s="12">
        <v>18</v>
      </c>
      <c r="AP15" s="12">
        <v>0</v>
      </c>
      <c r="AQ15" s="5">
        <f t="shared" si="17"/>
        <v>15</v>
      </c>
      <c r="AR15" s="12">
        <v>3</v>
      </c>
      <c r="AS15" s="14">
        <f t="shared" si="18"/>
        <v>54.54545454545454</v>
      </c>
      <c r="AT15" t="s">
        <v>75</v>
      </c>
      <c r="AU15" s="7">
        <v>20</v>
      </c>
      <c r="AV15" s="7">
        <v>5</v>
      </c>
      <c r="AW15" s="5">
        <f t="shared" si="19"/>
        <v>25</v>
      </c>
      <c r="AX15" s="7">
        <v>18</v>
      </c>
      <c r="AY15" s="7">
        <v>0</v>
      </c>
      <c r="AZ15" s="5">
        <f t="shared" si="20"/>
        <v>7</v>
      </c>
      <c r="BA15" s="7">
        <v>1</v>
      </c>
      <c r="BB15" s="8">
        <f t="shared" si="21"/>
        <v>72</v>
      </c>
      <c r="BC15" s="1" t="s">
        <v>3</v>
      </c>
      <c r="BD15" s="7">
        <v>23</v>
      </c>
      <c r="BE15" s="7">
        <v>0</v>
      </c>
      <c r="BF15" s="5">
        <f t="shared" si="22"/>
        <v>23</v>
      </c>
      <c r="BG15" s="7">
        <v>0</v>
      </c>
      <c r="BH15" s="7">
        <v>0</v>
      </c>
      <c r="BI15" s="5">
        <f t="shared" si="23"/>
        <v>23</v>
      </c>
      <c r="BJ15" s="7">
        <v>0</v>
      </c>
      <c r="BK15" s="8">
        <f t="shared" si="24"/>
        <v>0</v>
      </c>
      <c r="BL15" s="1" t="s">
        <v>3</v>
      </c>
      <c r="BM15" s="7">
        <v>41</v>
      </c>
      <c r="BN15" s="7">
        <v>0</v>
      </c>
      <c r="BO15" s="5">
        <f t="shared" si="25"/>
        <v>41</v>
      </c>
      <c r="BP15" s="7">
        <v>1</v>
      </c>
      <c r="BQ15" s="7">
        <v>0</v>
      </c>
      <c r="BR15" s="5">
        <f t="shared" si="26"/>
        <v>40</v>
      </c>
      <c r="BS15" s="7">
        <v>0</v>
      </c>
      <c r="BT15" s="22">
        <f t="shared" si="27"/>
        <v>2.4390243902439024</v>
      </c>
      <c r="BU15" s="1" t="s">
        <v>3</v>
      </c>
      <c r="BV15" s="7">
        <v>40</v>
      </c>
      <c r="BW15" s="7">
        <v>0</v>
      </c>
      <c r="BX15" s="5">
        <f t="shared" si="28"/>
        <v>40</v>
      </c>
      <c r="BY15" s="7">
        <v>18</v>
      </c>
      <c r="BZ15" s="7">
        <v>0</v>
      </c>
      <c r="CA15" s="5">
        <f t="shared" si="29"/>
        <v>22</v>
      </c>
      <c r="CB15" s="7">
        <v>0</v>
      </c>
      <c r="CC15" s="8">
        <f>(BY15/BV15)*100</f>
        <v>45</v>
      </c>
      <c r="CD15" s="9" t="s">
        <v>3</v>
      </c>
      <c r="CE15" s="76">
        <v>33</v>
      </c>
      <c r="CF15" s="76">
        <v>5</v>
      </c>
      <c r="CG15" s="76">
        <f t="shared" si="31"/>
        <v>38</v>
      </c>
      <c r="CH15" s="76">
        <v>21</v>
      </c>
      <c r="CI15" s="76">
        <v>0</v>
      </c>
      <c r="CJ15" s="76">
        <f t="shared" si="32"/>
        <v>17</v>
      </c>
      <c r="CK15" s="76">
        <v>0</v>
      </c>
      <c r="CL15" s="23">
        <f t="shared" si="33"/>
        <v>55.26315789473685</v>
      </c>
      <c r="CM15" s="9" t="s">
        <v>0</v>
      </c>
      <c r="CN15" s="76">
        <v>72</v>
      </c>
      <c r="CO15" s="76">
        <v>3</v>
      </c>
      <c r="CP15" s="76">
        <f t="shared" si="34"/>
        <v>75</v>
      </c>
      <c r="CQ15" s="76">
        <v>69</v>
      </c>
      <c r="CR15" s="76">
        <v>1</v>
      </c>
      <c r="CS15" s="76">
        <f t="shared" si="35"/>
        <v>6</v>
      </c>
      <c r="CT15" s="76">
        <v>0</v>
      </c>
      <c r="CU15" s="9">
        <f t="shared" si="36"/>
        <v>92</v>
      </c>
      <c r="CV15" s="9" t="s">
        <v>3</v>
      </c>
      <c r="CW15" s="76">
        <v>48</v>
      </c>
      <c r="CX15" s="76">
        <v>29</v>
      </c>
      <c r="CY15" s="76">
        <f t="shared" si="37"/>
        <v>77</v>
      </c>
      <c r="CZ15" s="76">
        <v>41</v>
      </c>
      <c r="DA15" s="76">
        <v>0</v>
      </c>
      <c r="DB15" s="76">
        <f t="shared" si="38"/>
        <v>36</v>
      </c>
      <c r="DC15" s="76">
        <v>0</v>
      </c>
      <c r="DD15" s="23">
        <f t="shared" si="39"/>
        <v>53.246753246753244</v>
      </c>
      <c r="DE15" s="69" t="s">
        <v>0</v>
      </c>
      <c r="DF15" s="55">
        <v>17</v>
      </c>
      <c r="DG15" s="55">
        <v>0</v>
      </c>
      <c r="DH15" s="55">
        <f t="shared" si="40"/>
        <v>17</v>
      </c>
      <c r="DI15" s="55">
        <v>1</v>
      </c>
      <c r="DJ15" s="55">
        <v>0</v>
      </c>
      <c r="DK15" s="55">
        <f t="shared" si="41"/>
        <v>16</v>
      </c>
      <c r="DL15" s="55">
        <v>8</v>
      </c>
      <c r="DM15" s="36">
        <f t="shared" si="42"/>
        <v>5.8823529411764701</v>
      </c>
      <c r="DN15" s="1" t="s">
        <v>1</v>
      </c>
      <c r="DO15">
        <v>13</v>
      </c>
      <c r="DP15">
        <v>0</v>
      </c>
      <c r="DQ15">
        <f t="shared" si="43"/>
        <v>13</v>
      </c>
      <c r="DR15">
        <v>1</v>
      </c>
      <c r="DS15">
        <v>0</v>
      </c>
      <c r="DT15">
        <f t="shared" si="44"/>
        <v>12</v>
      </c>
      <c r="DU15">
        <v>9</v>
      </c>
      <c r="DV15" s="11">
        <f t="shared" si="45"/>
        <v>7.6923076923076925</v>
      </c>
      <c r="DW15" s="68" t="s">
        <v>3</v>
      </c>
      <c r="DX15" s="39">
        <v>12</v>
      </c>
      <c r="DY15" s="39">
        <v>0</v>
      </c>
      <c r="DZ15" s="55">
        <f t="shared" si="46"/>
        <v>12</v>
      </c>
      <c r="EA15" s="39">
        <v>6</v>
      </c>
      <c r="EB15" s="39">
        <v>0</v>
      </c>
      <c r="EC15" s="55">
        <f t="shared" si="47"/>
        <v>6</v>
      </c>
      <c r="ED15" s="39">
        <v>1</v>
      </c>
      <c r="EE15" s="37">
        <f t="shared" si="48"/>
        <v>50</v>
      </c>
      <c r="EF15" s="68" t="s">
        <v>3</v>
      </c>
      <c r="EG15" s="35">
        <v>11</v>
      </c>
      <c r="EH15" s="35">
        <v>1</v>
      </c>
      <c r="EI15" s="34">
        <f t="shared" si="49"/>
        <v>12</v>
      </c>
      <c r="EJ15" s="35">
        <v>10</v>
      </c>
      <c r="EK15" s="35">
        <v>0</v>
      </c>
      <c r="EL15" s="34">
        <f t="shared" si="50"/>
        <v>2</v>
      </c>
      <c r="EM15" s="35">
        <v>0</v>
      </c>
      <c r="EN15" s="37">
        <f t="shared" si="91"/>
        <v>83.333333333333343</v>
      </c>
      <c r="EO15" s="68" t="s">
        <v>3</v>
      </c>
      <c r="EP15" s="35">
        <v>9</v>
      </c>
      <c r="EQ15" s="35">
        <v>1</v>
      </c>
      <c r="ER15" s="34">
        <f t="shared" si="52"/>
        <v>10</v>
      </c>
      <c r="ES15" s="35">
        <v>7</v>
      </c>
      <c r="ET15" s="35">
        <v>1</v>
      </c>
      <c r="EU15" s="34">
        <f t="shared" si="53"/>
        <v>3</v>
      </c>
      <c r="EV15" s="35">
        <v>0</v>
      </c>
      <c r="EW15" s="38">
        <f t="shared" si="92"/>
        <v>70</v>
      </c>
      <c r="EX15" s="68" t="s">
        <v>3</v>
      </c>
      <c r="EY15" s="35">
        <v>16</v>
      </c>
      <c r="EZ15" s="35">
        <v>0</v>
      </c>
      <c r="FA15" s="56">
        <f t="shared" si="55"/>
        <v>16</v>
      </c>
      <c r="FB15" s="35">
        <v>13</v>
      </c>
      <c r="FC15" s="35">
        <v>0</v>
      </c>
      <c r="FD15" s="56">
        <f t="shared" si="56"/>
        <v>3</v>
      </c>
      <c r="FE15" s="35">
        <v>0</v>
      </c>
      <c r="FF15" s="37">
        <f t="shared" si="93"/>
        <v>81.25</v>
      </c>
      <c r="FG15" s="36" t="s">
        <v>75</v>
      </c>
      <c r="FH15" s="39">
        <v>31</v>
      </c>
      <c r="FI15" s="39">
        <v>0</v>
      </c>
      <c r="FJ15" s="7">
        <f t="shared" si="58"/>
        <v>31</v>
      </c>
      <c r="FK15" s="39">
        <v>0</v>
      </c>
      <c r="FL15" s="39">
        <v>0</v>
      </c>
      <c r="FM15" s="7">
        <f t="shared" si="59"/>
        <v>31</v>
      </c>
      <c r="FN15" s="39">
        <v>10</v>
      </c>
      <c r="FO15" s="37">
        <f t="shared" si="0"/>
        <v>0</v>
      </c>
      <c r="FP15" s="36" t="s">
        <v>75</v>
      </c>
      <c r="FQ15" s="78">
        <v>54</v>
      </c>
      <c r="FR15" s="39">
        <v>0</v>
      </c>
      <c r="FS15" s="39">
        <f t="shared" si="60"/>
        <v>54</v>
      </c>
      <c r="FT15" s="78">
        <v>30</v>
      </c>
      <c r="FU15" s="39">
        <v>0</v>
      </c>
      <c r="FV15" s="39">
        <f t="shared" si="61"/>
        <v>24</v>
      </c>
      <c r="FW15" s="78">
        <v>20</v>
      </c>
      <c r="FX15" s="37">
        <f t="shared" si="62"/>
        <v>55.555555555555557</v>
      </c>
      <c r="FY15" s="36" t="s">
        <v>75</v>
      </c>
      <c r="FZ15" s="63">
        <v>28</v>
      </c>
      <c r="GA15" s="39">
        <v>0</v>
      </c>
      <c r="GB15" s="90">
        <f t="shared" si="63"/>
        <v>28</v>
      </c>
      <c r="GC15" s="63">
        <v>2</v>
      </c>
      <c r="GD15" s="39">
        <v>0</v>
      </c>
      <c r="GE15" s="90">
        <f t="shared" si="64"/>
        <v>26</v>
      </c>
      <c r="GF15" s="63">
        <v>17</v>
      </c>
      <c r="GG15" s="37">
        <f t="shared" si="1"/>
        <v>7.1428571428571423</v>
      </c>
      <c r="GH15" s="36" t="s">
        <v>75</v>
      </c>
      <c r="GI15" s="39">
        <v>12</v>
      </c>
      <c r="GJ15" s="39">
        <v>14</v>
      </c>
      <c r="GK15" s="39">
        <f t="shared" si="65"/>
        <v>26</v>
      </c>
      <c r="GL15" s="39">
        <v>10</v>
      </c>
      <c r="GM15" s="39">
        <v>0</v>
      </c>
      <c r="GN15" s="39">
        <f t="shared" si="66"/>
        <v>16</v>
      </c>
      <c r="GO15" s="39">
        <v>0</v>
      </c>
      <c r="GP15" s="37">
        <f t="shared" si="67"/>
        <v>38.461538461538467</v>
      </c>
      <c r="GQ15" s="36" t="s">
        <v>75</v>
      </c>
      <c r="GR15" s="64">
        <v>52</v>
      </c>
      <c r="GS15" s="64">
        <v>4</v>
      </c>
      <c r="GT15" s="64">
        <f t="shared" si="68"/>
        <v>56</v>
      </c>
      <c r="GU15" s="64">
        <v>49</v>
      </c>
      <c r="GV15" s="64">
        <v>0</v>
      </c>
      <c r="GW15" s="64">
        <f t="shared" si="69"/>
        <v>7</v>
      </c>
      <c r="GX15" s="64">
        <v>2</v>
      </c>
      <c r="GY15" s="66">
        <f t="shared" si="70"/>
        <v>87.5</v>
      </c>
      <c r="GZ15" s="36" t="s">
        <v>75</v>
      </c>
      <c r="HA15" s="64">
        <v>21</v>
      </c>
      <c r="HB15" s="64">
        <v>2</v>
      </c>
      <c r="HC15" s="64">
        <f t="shared" si="71"/>
        <v>23</v>
      </c>
      <c r="HD15" s="64">
        <v>15</v>
      </c>
      <c r="HE15" s="64">
        <v>0</v>
      </c>
      <c r="HF15" s="64">
        <f t="shared" si="72"/>
        <v>8</v>
      </c>
      <c r="HG15" s="64">
        <v>4</v>
      </c>
      <c r="HH15" s="66">
        <f t="shared" si="2"/>
        <v>65.217391304347828</v>
      </c>
      <c r="HI15" s="5" t="s">
        <v>0</v>
      </c>
      <c r="HJ15" s="5">
        <v>60</v>
      </c>
      <c r="HK15" s="5">
        <v>0</v>
      </c>
      <c r="HL15" s="3">
        <f t="shared" si="73"/>
        <v>60</v>
      </c>
      <c r="HM15" s="5">
        <v>16</v>
      </c>
      <c r="HN15" s="5">
        <v>0</v>
      </c>
      <c r="HO15" s="3">
        <f t="shared" si="74"/>
        <v>44</v>
      </c>
      <c r="HP15" s="5">
        <v>22</v>
      </c>
      <c r="HQ15" s="23">
        <f t="shared" si="3"/>
        <v>26.666666666666668</v>
      </c>
      <c r="HR15" s="5" t="s">
        <v>0</v>
      </c>
      <c r="HS15" s="5">
        <v>34</v>
      </c>
      <c r="HT15" s="5">
        <v>0</v>
      </c>
      <c r="HU15" s="3">
        <f t="shared" si="75"/>
        <v>34</v>
      </c>
      <c r="HV15" s="5">
        <v>15</v>
      </c>
      <c r="HW15" s="5">
        <v>0</v>
      </c>
      <c r="HX15" s="3">
        <f t="shared" si="76"/>
        <v>19</v>
      </c>
      <c r="HY15" s="5">
        <v>18</v>
      </c>
      <c r="HZ15" s="23">
        <f t="shared" si="77"/>
        <v>44.117647058823529</v>
      </c>
      <c r="IA15" s="39" t="s">
        <v>75</v>
      </c>
      <c r="IB15" s="39">
        <v>23</v>
      </c>
      <c r="IC15" s="39">
        <v>0</v>
      </c>
      <c r="ID15" s="3">
        <f t="shared" si="78"/>
        <v>23</v>
      </c>
      <c r="IE15" s="39">
        <v>9</v>
      </c>
      <c r="IF15" s="39">
        <v>0</v>
      </c>
      <c r="IG15" s="3">
        <f t="shared" si="79"/>
        <v>14</v>
      </c>
      <c r="IH15" s="39">
        <v>11</v>
      </c>
      <c r="II15" s="40">
        <f t="shared" si="80"/>
        <v>39.130434782608695</v>
      </c>
      <c r="IJ15" s="65" t="s">
        <v>0</v>
      </c>
      <c r="IK15" s="5">
        <v>30</v>
      </c>
      <c r="IL15" s="5">
        <v>5</v>
      </c>
      <c r="IM15" s="3">
        <f t="shared" si="81"/>
        <v>35</v>
      </c>
      <c r="IN15" s="5">
        <v>17</v>
      </c>
      <c r="IO15" s="5">
        <v>1</v>
      </c>
      <c r="IP15" s="3">
        <f t="shared" si="82"/>
        <v>18</v>
      </c>
      <c r="IQ15" s="5">
        <v>2</v>
      </c>
      <c r="IR15" s="23">
        <f t="shared" si="83"/>
        <v>48.571428571428569</v>
      </c>
      <c r="IS15" s="65" t="s">
        <v>0</v>
      </c>
      <c r="IT15" s="5">
        <v>22</v>
      </c>
      <c r="IU15" s="5">
        <v>1</v>
      </c>
      <c r="IV15" s="3">
        <f t="shared" si="84"/>
        <v>23</v>
      </c>
      <c r="IW15" s="5">
        <v>14</v>
      </c>
      <c r="IX15" s="5">
        <v>0</v>
      </c>
      <c r="IY15" s="3">
        <f t="shared" si="85"/>
        <v>9</v>
      </c>
      <c r="IZ15" s="5">
        <v>3</v>
      </c>
      <c r="JA15" s="23">
        <f t="shared" si="86"/>
        <v>60.869565217391312</v>
      </c>
      <c r="JB15" s="39" t="s">
        <v>75</v>
      </c>
      <c r="JC15" s="39">
        <v>23</v>
      </c>
      <c r="JD15" s="39">
        <v>1</v>
      </c>
      <c r="JE15" s="5">
        <f t="shared" si="87"/>
        <v>24</v>
      </c>
      <c r="JF15" s="39">
        <v>10</v>
      </c>
      <c r="JG15" s="39">
        <v>0</v>
      </c>
      <c r="JH15" s="5">
        <f t="shared" si="88"/>
        <v>14</v>
      </c>
      <c r="JI15" s="39">
        <v>2</v>
      </c>
      <c r="JJ15" s="40">
        <f t="shared" si="89"/>
        <v>41.666666666666671</v>
      </c>
    </row>
    <row r="16" spans="1:270" x14ac:dyDescent="0.2">
      <c r="A16" s="1" t="s">
        <v>2</v>
      </c>
      <c r="B16" s="71">
        <v>48</v>
      </c>
      <c r="C16" s="72">
        <v>0</v>
      </c>
      <c r="D16" s="72">
        <f t="shared" si="4"/>
        <v>48</v>
      </c>
      <c r="E16" s="72">
        <v>10</v>
      </c>
      <c r="F16" s="72">
        <v>0</v>
      </c>
      <c r="G16" s="72">
        <f t="shared" si="5"/>
        <v>38</v>
      </c>
      <c r="H16" s="72">
        <v>6</v>
      </c>
      <c r="I16" s="27">
        <f t="shared" si="6"/>
        <v>20.833333333333336</v>
      </c>
      <c r="J16" s="1" t="s">
        <v>0</v>
      </c>
      <c r="K16" s="5">
        <v>29</v>
      </c>
      <c r="L16" s="5">
        <v>0</v>
      </c>
      <c r="M16" s="10">
        <f t="shared" si="7"/>
        <v>29</v>
      </c>
      <c r="N16" s="5">
        <v>4</v>
      </c>
      <c r="O16" s="5">
        <v>0</v>
      </c>
      <c r="P16" s="74">
        <f t="shared" si="8"/>
        <v>25</v>
      </c>
      <c r="Q16" s="76">
        <v>7</v>
      </c>
      <c r="R16" s="9">
        <f t="shared" si="94"/>
        <v>13.793103448275861</v>
      </c>
      <c r="S16" s="1" t="s">
        <v>2</v>
      </c>
      <c r="T16" s="10">
        <v>26</v>
      </c>
      <c r="U16" s="10">
        <v>0</v>
      </c>
      <c r="V16" s="10">
        <f t="shared" si="10"/>
        <v>26</v>
      </c>
      <c r="W16" s="10">
        <v>11</v>
      </c>
      <c r="X16" s="10">
        <v>0</v>
      </c>
      <c r="Y16" s="74">
        <f t="shared" si="11"/>
        <v>15</v>
      </c>
      <c r="Z16" s="10">
        <v>1</v>
      </c>
      <c r="AA16" s="28">
        <f t="shared" si="12"/>
        <v>42.307692307692307</v>
      </c>
      <c r="AB16" s="1" t="s">
        <v>0</v>
      </c>
      <c r="AC16" s="5">
        <v>29</v>
      </c>
      <c r="AD16" s="5">
        <v>4</v>
      </c>
      <c r="AE16" s="76">
        <f t="shared" si="13"/>
        <v>33</v>
      </c>
      <c r="AF16" s="5">
        <v>26</v>
      </c>
      <c r="AG16" s="5">
        <v>0</v>
      </c>
      <c r="AH16" s="76">
        <f t="shared" si="14"/>
        <v>7</v>
      </c>
      <c r="AI16" s="5">
        <v>1</v>
      </c>
      <c r="AJ16" s="13">
        <f t="shared" si="15"/>
        <v>78.787878787878782</v>
      </c>
      <c r="AK16" s="1" t="s">
        <v>0</v>
      </c>
      <c r="AL16" s="12">
        <v>26</v>
      </c>
      <c r="AM16" s="12">
        <v>3</v>
      </c>
      <c r="AN16" s="5">
        <f t="shared" si="16"/>
        <v>29</v>
      </c>
      <c r="AO16" s="12">
        <v>24</v>
      </c>
      <c r="AP16" s="12">
        <v>0</v>
      </c>
      <c r="AQ16" s="5">
        <f t="shared" si="17"/>
        <v>5</v>
      </c>
      <c r="AR16" s="12">
        <v>0</v>
      </c>
      <c r="AS16" s="14">
        <f t="shared" si="18"/>
        <v>82.758620689655174</v>
      </c>
      <c r="AT16" t="s">
        <v>75</v>
      </c>
      <c r="AU16" s="7">
        <v>11</v>
      </c>
      <c r="AV16" s="7">
        <v>4</v>
      </c>
      <c r="AW16" s="5">
        <f t="shared" si="19"/>
        <v>15</v>
      </c>
      <c r="AX16" s="7">
        <v>8</v>
      </c>
      <c r="AY16" s="7">
        <v>0</v>
      </c>
      <c r="AZ16" s="5">
        <f t="shared" si="20"/>
        <v>7</v>
      </c>
      <c r="BA16" s="7">
        <v>1</v>
      </c>
      <c r="BB16" s="8">
        <f t="shared" si="21"/>
        <v>53.333333333333336</v>
      </c>
      <c r="BC16" s="1" t="s">
        <v>3</v>
      </c>
      <c r="BD16" s="7">
        <v>40</v>
      </c>
      <c r="BE16" s="7">
        <v>0</v>
      </c>
      <c r="BF16" s="5">
        <f t="shared" si="22"/>
        <v>40</v>
      </c>
      <c r="BG16" s="7">
        <v>6</v>
      </c>
      <c r="BH16" s="7">
        <v>0</v>
      </c>
      <c r="BI16" s="5">
        <f t="shared" si="23"/>
        <v>34</v>
      </c>
      <c r="BJ16" s="7">
        <v>0</v>
      </c>
      <c r="BK16" s="8">
        <f t="shared" si="24"/>
        <v>15</v>
      </c>
      <c r="BL16" s="1" t="s">
        <v>3</v>
      </c>
      <c r="BM16" s="7">
        <v>42</v>
      </c>
      <c r="BN16" s="7">
        <v>0</v>
      </c>
      <c r="BO16" s="5">
        <f t="shared" si="25"/>
        <v>42</v>
      </c>
      <c r="BP16" s="7">
        <v>3</v>
      </c>
      <c r="BQ16" s="7">
        <v>0</v>
      </c>
      <c r="BR16" s="5">
        <f t="shared" si="26"/>
        <v>39</v>
      </c>
      <c r="BS16" s="7">
        <v>0</v>
      </c>
      <c r="BT16" s="22">
        <f t="shared" si="27"/>
        <v>7.1428571428571423</v>
      </c>
      <c r="BU16" s="1" t="s">
        <v>3</v>
      </c>
      <c r="BV16" s="7">
        <v>46</v>
      </c>
      <c r="BW16" s="7">
        <v>0</v>
      </c>
      <c r="BX16" s="5">
        <f t="shared" si="28"/>
        <v>46</v>
      </c>
      <c r="BY16" s="7">
        <v>10</v>
      </c>
      <c r="BZ16" s="7">
        <v>0</v>
      </c>
      <c r="CA16" s="5">
        <f t="shared" si="29"/>
        <v>36</v>
      </c>
      <c r="CB16" s="7">
        <v>1</v>
      </c>
      <c r="CC16" s="8">
        <f>(BY16/BV16)*100</f>
        <v>21.739130434782609</v>
      </c>
      <c r="CD16" s="9" t="s">
        <v>3</v>
      </c>
      <c r="CE16" s="76">
        <v>23</v>
      </c>
      <c r="CF16" s="76">
        <v>6</v>
      </c>
      <c r="CG16" s="76">
        <f t="shared" si="31"/>
        <v>29</v>
      </c>
      <c r="CH16" s="76">
        <v>15</v>
      </c>
      <c r="CI16" s="76">
        <v>0</v>
      </c>
      <c r="CJ16" s="76">
        <f t="shared" si="32"/>
        <v>14</v>
      </c>
      <c r="CK16" s="76">
        <v>0</v>
      </c>
      <c r="CL16" s="23">
        <f t="shared" si="33"/>
        <v>51.724137931034484</v>
      </c>
      <c r="CM16" s="9" t="s">
        <v>0</v>
      </c>
      <c r="CN16" s="76">
        <v>28</v>
      </c>
      <c r="CO16" s="76">
        <v>1</v>
      </c>
      <c r="CP16" s="76">
        <f t="shared" si="34"/>
        <v>29</v>
      </c>
      <c r="CQ16" s="76">
        <v>25</v>
      </c>
      <c r="CR16" s="76">
        <v>0</v>
      </c>
      <c r="CS16" s="76">
        <f t="shared" si="35"/>
        <v>4</v>
      </c>
      <c r="CT16" s="76">
        <v>1</v>
      </c>
      <c r="CU16" s="9">
        <f t="shared" si="36"/>
        <v>86.206896551724128</v>
      </c>
      <c r="CV16" s="9" t="s">
        <v>3</v>
      </c>
      <c r="CW16" s="76">
        <v>44</v>
      </c>
      <c r="CX16" s="76">
        <v>26</v>
      </c>
      <c r="CY16" s="76">
        <f t="shared" si="37"/>
        <v>70</v>
      </c>
      <c r="CZ16" s="76">
        <v>34</v>
      </c>
      <c r="DA16" s="76">
        <v>0</v>
      </c>
      <c r="DB16" s="76">
        <f t="shared" si="38"/>
        <v>36</v>
      </c>
      <c r="DC16" s="76">
        <v>0</v>
      </c>
      <c r="DD16" s="23">
        <f t="shared" si="39"/>
        <v>48.571428571428569</v>
      </c>
      <c r="DE16" s="2" t="s">
        <v>1</v>
      </c>
      <c r="DF16" s="3">
        <v>18</v>
      </c>
      <c r="DG16" s="3">
        <v>0</v>
      </c>
      <c r="DH16" s="55">
        <f t="shared" si="40"/>
        <v>18</v>
      </c>
      <c r="DI16" s="3">
        <v>3</v>
      </c>
      <c r="DJ16" s="3">
        <v>0</v>
      </c>
      <c r="DK16" s="55">
        <f t="shared" si="41"/>
        <v>15</v>
      </c>
      <c r="DL16" s="3">
        <v>11</v>
      </c>
      <c r="DM16" s="4">
        <f t="shared" si="42"/>
        <v>16.666666666666664</v>
      </c>
      <c r="DN16" s="1" t="s">
        <v>1</v>
      </c>
      <c r="DO16">
        <v>20</v>
      </c>
      <c r="DP16">
        <v>0</v>
      </c>
      <c r="DQ16">
        <f t="shared" si="43"/>
        <v>20</v>
      </c>
      <c r="DR16">
        <v>0</v>
      </c>
      <c r="DS16">
        <v>0</v>
      </c>
      <c r="DT16">
        <f t="shared" si="44"/>
        <v>20</v>
      </c>
      <c r="DU16">
        <v>17</v>
      </c>
      <c r="DV16" s="11">
        <f t="shared" si="45"/>
        <v>0</v>
      </c>
      <c r="DW16" s="68" t="s">
        <v>189</v>
      </c>
      <c r="DX16" s="97">
        <v>14</v>
      </c>
      <c r="DY16" s="39">
        <v>0</v>
      </c>
      <c r="DZ16" s="55">
        <f t="shared" si="46"/>
        <v>14</v>
      </c>
      <c r="EA16" s="7">
        <v>6</v>
      </c>
      <c r="EB16" s="39">
        <v>0</v>
      </c>
      <c r="EC16" s="55">
        <f t="shared" si="47"/>
        <v>8</v>
      </c>
      <c r="ED16" s="7">
        <v>9</v>
      </c>
      <c r="EE16" s="83">
        <f t="shared" ref="EE16:EE28" si="95">(EA16/DX16)*100</f>
        <v>42.857142857142854</v>
      </c>
      <c r="EF16" s="68" t="s">
        <v>3</v>
      </c>
      <c r="EG16" s="35">
        <v>8</v>
      </c>
      <c r="EH16" s="35">
        <v>0</v>
      </c>
      <c r="EI16" s="34">
        <f t="shared" si="49"/>
        <v>8</v>
      </c>
      <c r="EJ16" s="35">
        <v>5</v>
      </c>
      <c r="EK16" s="35">
        <v>0</v>
      </c>
      <c r="EL16" s="34">
        <f t="shared" si="50"/>
        <v>3</v>
      </c>
      <c r="EM16" s="35">
        <v>1</v>
      </c>
      <c r="EN16" s="37">
        <f t="shared" si="91"/>
        <v>62.5</v>
      </c>
      <c r="EO16" s="68" t="s">
        <v>3</v>
      </c>
      <c r="EP16" s="35">
        <v>4</v>
      </c>
      <c r="EQ16" s="35">
        <v>0</v>
      </c>
      <c r="ER16" s="34">
        <f t="shared" si="52"/>
        <v>4</v>
      </c>
      <c r="ES16" s="35">
        <v>4</v>
      </c>
      <c r="ET16" s="35">
        <v>0</v>
      </c>
      <c r="EU16" s="34">
        <f t="shared" si="53"/>
        <v>0</v>
      </c>
      <c r="EV16" s="35">
        <v>0</v>
      </c>
      <c r="EW16" s="38">
        <f t="shared" si="92"/>
        <v>100</v>
      </c>
      <c r="EX16" s="68" t="s">
        <v>3</v>
      </c>
      <c r="EY16" s="35">
        <v>13</v>
      </c>
      <c r="EZ16" s="35">
        <v>0</v>
      </c>
      <c r="FA16" s="56">
        <f t="shared" si="55"/>
        <v>13</v>
      </c>
      <c r="FB16" s="35">
        <v>12</v>
      </c>
      <c r="FC16" s="35">
        <v>0</v>
      </c>
      <c r="FD16" s="56">
        <f t="shared" si="56"/>
        <v>1</v>
      </c>
      <c r="FE16" s="35">
        <v>2</v>
      </c>
      <c r="FF16" s="37">
        <f t="shared" si="93"/>
        <v>92.307692307692307</v>
      </c>
      <c r="FG16" s="36" t="s">
        <v>75</v>
      </c>
      <c r="FH16" s="39">
        <v>32</v>
      </c>
      <c r="FI16" s="39">
        <v>0</v>
      </c>
      <c r="FJ16" s="7">
        <f t="shared" si="58"/>
        <v>32</v>
      </c>
      <c r="FK16" s="39">
        <v>2</v>
      </c>
      <c r="FL16" s="39">
        <v>0</v>
      </c>
      <c r="FM16" s="7">
        <f t="shared" si="59"/>
        <v>30</v>
      </c>
      <c r="FN16" s="39">
        <v>14</v>
      </c>
      <c r="FO16" s="37">
        <f t="shared" si="0"/>
        <v>6.25</v>
      </c>
      <c r="FP16" s="36" t="s">
        <v>75</v>
      </c>
      <c r="FQ16" s="78">
        <v>54</v>
      </c>
      <c r="FR16" s="39">
        <v>0</v>
      </c>
      <c r="FS16" s="39">
        <f t="shared" si="60"/>
        <v>54</v>
      </c>
      <c r="FT16" s="78">
        <v>22</v>
      </c>
      <c r="FU16" s="39">
        <v>0</v>
      </c>
      <c r="FV16" s="39">
        <f t="shared" si="61"/>
        <v>32</v>
      </c>
      <c r="FW16" s="78">
        <v>18</v>
      </c>
      <c r="FX16" s="37">
        <f t="shared" si="62"/>
        <v>40.74074074074074</v>
      </c>
      <c r="FY16" s="68" t="s">
        <v>181</v>
      </c>
      <c r="FZ16" s="63">
        <v>31</v>
      </c>
      <c r="GA16" s="39">
        <v>0</v>
      </c>
      <c r="GB16" s="90">
        <f t="shared" si="63"/>
        <v>31</v>
      </c>
      <c r="GC16" s="63">
        <v>10</v>
      </c>
      <c r="GD16" s="39">
        <v>0</v>
      </c>
      <c r="GE16" s="90">
        <f t="shared" si="64"/>
        <v>21</v>
      </c>
      <c r="GF16" s="63">
        <v>11</v>
      </c>
      <c r="GG16" s="37">
        <f t="shared" si="1"/>
        <v>32.258064516129032</v>
      </c>
      <c r="GH16" s="36" t="s">
        <v>75</v>
      </c>
      <c r="GI16" s="39">
        <v>21</v>
      </c>
      <c r="GJ16" s="39">
        <v>13</v>
      </c>
      <c r="GK16" s="39">
        <f t="shared" si="65"/>
        <v>34</v>
      </c>
      <c r="GL16" s="39">
        <v>14</v>
      </c>
      <c r="GM16" s="39">
        <v>0</v>
      </c>
      <c r="GN16" s="39">
        <f t="shared" si="66"/>
        <v>20</v>
      </c>
      <c r="GO16" s="39">
        <v>2</v>
      </c>
      <c r="GP16" s="37">
        <f t="shared" si="67"/>
        <v>41.17647058823529</v>
      </c>
      <c r="GQ16" s="36" t="s">
        <v>75</v>
      </c>
      <c r="GR16" s="64">
        <v>16</v>
      </c>
      <c r="GS16" s="64">
        <v>5</v>
      </c>
      <c r="GT16" s="64">
        <f t="shared" si="68"/>
        <v>21</v>
      </c>
      <c r="GU16" s="64">
        <v>14</v>
      </c>
      <c r="GV16" s="64">
        <v>0</v>
      </c>
      <c r="GW16" s="64">
        <f t="shared" si="69"/>
        <v>7</v>
      </c>
      <c r="GX16" s="64">
        <v>1</v>
      </c>
      <c r="GY16" s="66">
        <f t="shared" si="70"/>
        <v>66.666666666666657</v>
      </c>
      <c r="GZ16" s="36" t="s">
        <v>75</v>
      </c>
      <c r="HA16" s="64">
        <v>14</v>
      </c>
      <c r="HB16" s="64">
        <v>3</v>
      </c>
      <c r="HC16" s="64">
        <f t="shared" si="71"/>
        <v>17</v>
      </c>
      <c r="HD16" s="64">
        <v>8</v>
      </c>
      <c r="HE16" s="64">
        <v>0</v>
      </c>
      <c r="HF16" s="64">
        <f t="shared" si="72"/>
        <v>9</v>
      </c>
      <c r="HG16" s="64">
        <v>1</v>
      </c>
      <c r="HH16" s="66">
        <f t="shared" si="2"/>
        <v>47.058823529411761</v>
      </c>
      <c r="HI16" s="5" t="s">
        <v>0</v>
      </c>
      <c r="HJ16" s="5">
        <v>42</v>
      </c>
      <c r="HK16" s="5">
        <v>0</v>
      </c>
      <c r="HL16" s="3">
        <f t="shared" si="73"/>
        <v>42</v>
      </c>
      <c r="HM16" s="5">
        <v>18</v>
      </c>
      <c r="HN16" s="5">
        <v>0</v>
      </c>
      <c r="HO16" s="3">
        <f t="shared" si="74"/>
        <v>24</v>
      </c>
      <c r="HP16" s="5">
        <v>16</v>
      </c>
      <c r="HQ16" s="23">
        <f t="shared" si="3"/>
        <v>42.857142857142854</v>
      </c>
      <c r="HR16" s="5" t="s">
        <v>0</v>
      </c>
      <c r="HS16" s="5">
        <v>28</v>
      </c>
      <c r="HT16" s="5">
        <v>0</v>
      </c>
      <c r="HU16" s="3">
        <f t="shared" si="75"/>
        <v>28</v>
      </c>
      <c r="HV16" s="5">
        <v>13</v>
      </c>
      <c r="HW16" s="5">
        <v>0</v>
      </c>
      <c r="HX16" s="3">
        <f t="shared" si="76"/>
        <v>15</v>
      </c>
      <c r="HY16" s="5">
        <v>13</v>
      </c>
      <c r="HZ16" s="23">
        <f t="shared" si="77"/>
        <v>46.428571428571431</v>
      </c>
      <c r="IA16" s="39" t="s">
        <v>75</v>
      </c>
      <c r="IB16" s="39">
        <v>33</v>
      </c>
      <c r="IC16" s="39">
        <v>0</v>
      </c>
      <c r="ID16" s="3">
        <f t="shared" si="78"/>
        <v>33</v>
      </c>
      <c r="IE16" s="39">
        <v>19</v>
      </c>
      <c r="IF16" s="39">
        <v>0</v>
      </c>
      <c r="IG16" s="3">
        <f t="shared" si="79"/>
        <v>14</v>
      </c>
      <c r="IH16" s="39">
        <v>10</v>
      </c>
      <c r="II16" s="40">
        <f t="shared" si="80"/>
        <v>57.575757575757578</v>
      </c>
      <c r="IJ16" s="65" t="s">
        <v>0</v>
      </c>
      <c r="IK16" s="5">
        <v>29</v>
      </c>
      <c r="IL16" s="5">
        <v>2</v>
      </c>
      <c r="IM16" s="3">
        <f t="shared" si="81"/>
        <v>31</v>
      </c>
      <c r="IN16" s="5">
        <v>20</v>
      </c>
      <c r="IO16" s="5">
        <v>0</v>
      </c>
      <c r="IP16" s="3">
        <f t="shared" si="82"/>
        <v>11</v>
      </c>
      <c r="IQ16" s="5">
        <v>3</v>
      </c>
      <c r="IR16" s="23">
        <f t="shared" si="83"/>
        <v>64.516129032258064</v>
      </c>
      <c r="IS16" s="65" t="s">
        <v>0</v>
      </c>
      <c r="IT16" s="5">
        <v>25</v>
      </c>
      <c r="IU16" s="5">
        <v>2</v>
      </c>
      <c r="IV16" s="3">
        <f t="shared" si="84"/>
        <v>27</v>
      </c>
      <c r="IW16" s="5">
        <v>19</v>
      </c>
      <c r="IX16" s="5">
        <v>0</v>
      </c>
      <c r="IY16" s="3">
        <f t="shared" si="85"/>
        <v>8</v>
      </c>
      <c r="IZ16" s="5">
        <v>2</v>
      </c>
      <c r="JA16" s="23">
        <f t="shared" si="86"/>
        <v>70.370370370370367</v>
      </c>
      <c r="JB16" s="39" t="s">
        <v>75</v>
      </c>
      <c r="JC16" s="39">
        <v>34</v>
      </c>
      <c r="JD16" s="39">
        <v>2</v>
      </c>
      <c r="JE16" s="5">
        <f t="shared" si="87"/>
        <v>36</v>
      </c>
      <c r="JF16" s="39">
        <v>21</v>
      </c>
      <c r="JG16" s="39">
        <v>0</v>
      </c>
      <c r="JH16" s="5">
        <f t="shared" si="88"/>
        <v>15</v>
      </c>
      <c r="JI16" s="39">
        <v>5</v>
      </c>
      <c r="JJ16" s="40">
        <f t="shared" si="89"/>
        <v>58.333333333333336</v>
      </c>
    </row>
    <row r="17" spans="1:270" x14ac:dyDescent="0.2">
      <c r="A17" s="1" t="s">
        <v>2</v>
      </c>
      <c r="B17" s="71">
        <v>32</v>
      </c>
      <c r="C17" s="72">
        <v>0</v>
      </c>
      <c r="D17" s="72">
        <f t="shared" si="4"/>
        <v>32</v>
      </c>
      <c r="E17" s="72">
        <v>7</v>
      </c>
      <c r="F17" s="72">
        <v>0</v>
      </c>
      <c r="G17" s="72">
        <f t="shared" si="5"/>
        <v>25</v>
      </c>
      <c r="H17" s="72">
        <v>3</v>
      </c>
      <c r="I17" s="27">
        <f t="shared" si="6"/>
        <v>21.875</v>
      </c>
      <c r="J17" s="1" t="s">
        <v>0</v>
      </c>
      <c r="K17" s="5">
        <v>33</v>
      </c>
      <c r="L17" s="5">
        <v>0</v>
      </c>
      <c r="M17" s="10">
        <f t="shared" si="7"/>
        <v>33</v>
      </c>
      <c r="N17" s="5">
        <v>7</v>
      </c>
      <c r="O17" s="5">
        <v>0</v>
      </c>
      <c r="P17" s="74">
        <f t="shared" si="8"/>
        <v>26</v>
      </c>
      <c r="Q17" s="76">
        <v>3</v>
      </c>
      <c r="R17" s="9">
        <f t="shared" si="94"/>
        <v>21.212121212121211</v>
      </c>
      <c r="S17" s="1" t="s">
        <v>0</v>
      </c>
      <c r="T17" s="5">
        <v>36</v>
      </c>
      <c r="U17" s="5">
        <v>0</v>
      </c>
      <c r="V17" s="10">
        <f t="shared" si="10"/>
        <v>36</v>
      </c>
      <c r="W17" s="5">
        <v>14</v>
      </c>
      <c r="X17" s="5">
        <v>0</v>
      </c>
      <c r="Y17" s="74">
        <f t="shared" si="11"/>
        <v>22</v>
      </c>
      <c r="Z17" s="5">
        <v>3</v>
      </c>
      <c r="AA17" s="9">
        <f t="shared" ref="AA17:AA29" si="96">(W17/T17)*100</f>
        <v>38.888888888888893</v>
      </c>
      <c r="AB17" s="1" t="s">
        <v>0</v>
      </c>
      <c r="AC17" s="5">
        <v>23</v>
      </c>
      <c r="AD17" s="5">
        <v>5</v>
      </c>
      <c r="AE17" s="76">
        <f t="shared" si="13"/>
        <v>28</v>
      </c>
      <c r="AF17" s="5">
        <v>21</v>
      </c>
      <c r="AG17" s="5">
        <v>0</v>
      </c>
      <c r="AH17" s="76">
        <f t="shared" si="14"/>
        <v>7</v>
      </c>
      <c r="AI17" s="5">
        <v>1</v>
      </c>
      <c r="AJ17" s="13">
        <f t="shared" si="15"/>
        <v>75</v>
      </c>
      <c r="AK17" s="1" t="s">
        <v>0</v>
      </c>
      <c r="AL17" s="12">
        <v>29</v>
      </c>
      <c r="AM17" s="12">
        <v>8</v>
      </c>
      <c r="AN17" s="5">
        <f t="shared" si="16"/>
        <v>37</v>
      </c>
      <c r="AO17" s="12">
        <v>20</v>
      </c>
      <c r="AP17" s="12">
        <v>0</v>
      </c>
      <c r="AQ17" s="5">
        <f t="shared" si="17"/>
        <v>17</v>
      </c>
      <c r="AR17" s="12">
        <v>1</v>
      </c>
      <c r="AS17" s="14">
        <f t="shared" si="18"/>
        <v>54.054054054054056</v>
      </c>
      <c r="AT17" t="s">
        <v>75</v>
      </c>
      <c r="AU17" s="7">
        <v>18</v>
      </c>
      <c r="AV17" s="7">
        <v>8</v>
      </c>
      <c r="AW17" s="5">
        <f t="shared" si="19"/>
        <v>26</v>
      </c>
      <c r="AX17" s="7">
        <v>14</v>
      </c>
      <c r="AY17" s="7">
        <v>0</v>
      </c>
      <c r="AZ17" s="5">
        <f t="shared" si="20"/>
        <v>12</v>
      </c>
      <c r="BA17" s="7">
        <v>2</v>
      </c>
      <c r="BB17" s="8">
        <f t="shared" si="21"/>
        <v>53.846153846153847</v>
      </c>
      <c r="BC17" s="1" t="s">
        <v>3</v>
      </c>
      <c r="BD17" s="7">
        <v>53</v>
      </c>
      <c r="BE17" s="7">
        <v>0</v>
      </c>
      <c r="BF17" s="5">
        <f t="shared" si="22"/>
        <v>53</v>
      </c>
      <c r="BG17" s="7">
        <v>13</v>
      </c>
      <c r="BH17" s="7">
        <v>0</v>
      </c>
      <c r="BI17" s="5">
        <f t="shared" si="23"/>
        <v>40</v>
      </c>
      <c r="BJ17" s="7">
        <v>0</v>
      </c>
      <c r="BK17" s="8">
        <f t="shared" si="24"/>
        <v>24.528301886792452</v>
      </c>
      <c r="BL17" s="1" t="s">
        <v>3</v>
      </c>
      <c r="BM17" s="7">
        <v>68</v>
      </c>
      <c r="BN17" s="7">
        <v>0</v>
      </c>
      <c r="BO17" s="5">
        <f t="shared" si="25"/>
        <v>68</v>
      </c>
      <c r="BP17" s="7">
        <v>7</v>
      </c>
      <c r="BQ17" s="7">
        <v>0</v>
      </c>
      <c r="BR17" s="5">
        <f t="shared" si="26"/>
        <v>61</v>
      </c>
      <c r="BS17" s="7">
        <v>0</v>
      </c>
      <c r="BT17" s="22">
        <f t="shared" si="27"/>
        <v>10.294117647058822</v>
      </c>
      <c r="BU17" s="1" t="s">
        <v>3</v>
      </c>
      <c r="BV17" s="7">
        <v>23</v>
      </c>
      <c r="BW17" s="7">
        <v>0</v>
      </c>
      <c r="BX17" s="5">
        <f t="shared" si="28"/>
        <v>23</v>
      </c>
      <c r="BY17" s="7">
        <v>6</v>
      </c>
      <c r="BZ17" s="7">
        <v>0</v>
      </c>
      <c r="CA17" s="5">
        <f t="shared" si="29"/>
        <v>17</v>
      </c>
      <c r="CB17" s="7">
        <v>0</v>
      </c>
      <c r="CC17" s="8">
        <f>(BY17/BV17)*100</f>
        <v>26.086956521739129</v>
      </c>
      <c r="CD17" s="9" t="s">
        <v>3</v>
      </c>
      <c r="CE17" s="76">
        <v>30</v>
      </c>
      <c r="CF17" s="76">
        <v>5</v>
      </c>
      <c r="CG17" s="76">
        <f t="shared" si="31"/>
        <v>35</v>
      </c>
      <c r="CH17" s="76">
        <v>19</v>
      </c>
      <c r="CI17" s="76">
        <v>0</v>
      </c>
      <c r="CJ17" s="76">
        <f t="shared" si="32"/>
        <v>16</v>
      </c>
      <c r="CK17" s="76">
        <v>0</v>
      </c>
      <c r="CL17" s="23">
        <f t="shared" si="33"/>
        <v>54.285714285714285</v>
      </c>
      <c r="CM17" s="9" t="s">
        <v>0</v>
      </c>
      <c r="CN17" s="76">
        <v>43</v>
      </c>
      <c r="CO17" s="76">
        <v>2</v>
      </c>
      <c r="CP17" s="76">
        <f t="shared" si="34"/>
        <v>45</v>
      </c>
      <c r="CQ17" s="76">
        <v>38</v>
      </c>
      <c r="CR17" s="76">
        <v>0</v>
      </c>
      <c r="CS17" s="76">
        <f t="shared" si="35"/>
        <v>7</v>
      </c>
      <c r="CT17" s="76">
        <v>1</v>
      </c>
      <c r="CU17" s="9">
        <f t="shared" si="36"/>
        <v>84.444444444444443</v>
      </c>
      <c r="CV17" s="9" t="s">
        <v>3</v>
      </c>
      <c r="CW17" s="76">
        <v>32</v>
      </c>
      <c r="CX17" s="76">
        <v>21</v>
      </c>
      <c r="CY17" s="76">
        <f t="shared" si="37"/>
        <v>53</v>
      </c>
      <c r="CZ17" s="76">
        <v>28</v>
      </c>
      <c r="DA17" s="76">
        <v>0</v>
      </c>
      <c r="DB17" s="76">
        <f t="shared" si="38"/>
        <v>25</v>
      </c>
      <c r="DC17" s="76">
        <v>1</v>
      </c>
      <c r="DD17" s="23">
        <f t="shared" si="39"/>
        <v>52.830188679245282</v>
      </c>
      <c r="DE17" s="2" t="s">
        <v>1</v>
      </c>
      <c r="DF17" s="3">
        <v>9</v>
      </c>
      <c r="DG17" s="3">
        <v>0</v>
      </c>
      <c r="DH17" s="55">
        <f t="shared" si="40"/>
        <v>9</v>
      </c>
      <c r="DI17" s="3">
        <v>1</v>
      </c>
      <c r="DJ17" s="3">
        <v>0</v>
      </c>
      <c r="DK17" s="55">
        <f t="shared" si="41"/>
        <v>8</v>
      </c>
      <c r="DL17" s="3">
        <v>8</v>
      </c>
      <c r="DM17" s="4">
        <f t="shared" si="42"/>
        <v>11.111111111111111</v>
      </c>
      <c r="DN17" s="1" t="s">
        <v>3</v>
      </c>
      <c r="DO17">
        <v>26</v>
      </c>
      <c r="DP17">
        <v>0</v>
      </c>
      <c r="DQ17">
        <f t="shared" si="43"/>
        <v>26</v>
      </c>
      <c r="DR17">
        <v>1</v>
      </c>
      <c r="DS17">
        <v>0</v>
      </c>
      <c r="DT17">
        <f t="shared" si="44"/>
        <v>25</v>
      </c>
      <c r="DU17">
        <v>17</v>
      </c>
      <c r="DV17" s="11">
        <f t="shared" si="45"/>
        <v>3.8461538461538463</v>
      </c>
      <c r="DW17" s="68" t="s">
        <v>189</v>
      </c>
      <c r="DX17" s="97">
        <v>13</v>
      </c>
      <c r="DY17" s="39">
        <v>0</v>
      </c>
      <c r="DZ17" s="55">
        <f t="shared" si="46"/>
        <v>13</v>
      </c>
      <c r="EA17" s="7">
        <v>9</v>
      </c>
      <c r="EB17" s="39">
        <v>0</v>
      </c>
      <c r="EC17" s="55">
        <f t="shared" si="47"/>
        <v>4</v>
      </c>
      <c r="ED17" s="7">
        <v>1</v>
      </c>
      <c r="EE17" s="83">
        <f t="shared" si="95"/>
        <v>69.230769230769226</v>
      </c>
      <c r="EF17" s="68" t="s">
        <v>3</v>
      </c>
      <c r="EG17" s="35">
        <v>22</v>
      </c>
      <c r="EH17" s="35">
        <v>1</v>
      </c>
      <c r="EI17" s="34">
        <f t="shared" si="49"/>
        <v>23</v>
      </c>
      <c r="EJ17" s="35">
        <v>18</v>
      </c>
      <c r="EK17" s="35">
        <v>0</v>
      </c>
      <c r="EL17" s="34">
        <f t="shared" si="50"/>
        <v>5</v>
      </c>
      <c r="EM17" s="35">
        <v>1</v>
      </c>
      <c r="EN17" s="37">
        <f t="shared" si="91"/>
        <v>78.260869565217391</v>
      </c>
      <c r="EO17" s="68" t="s">
        <v>3</v>
      </c>
      <c r="EP17" s="35">
        <v>5</v>
      </c>
      <c r="EQ17" s="35">
        <v>0</v>
      </c>
      <c r="ER17" s="34">
        <f t="shared" si="52"/>
        <v>5</v>
      </c>
      <c r="ES17" s="35">
        <v>5</v>
      </c>
      <c r="ET17" s="35">
        <v>0</v>
      </c>
      <c r="EU17" s="34">
        <f t="shared" si="53"/>
        <v>0</v>
      </c>
      <c r="EV17" s="35">
        <v>0</v>
      </c>
      <c r="EW17" s="38">
        <f t="shared" si="92"/>
        <v>100</v>
      </c>
      <c r="EX17" s="68" t="s">
        <v>3</v>
      </c>
      <c r="EY17" s="35">
        <v>3</v>
      </c>
      <c r="EZ17" s="35">
        <v>0</v>
      </c>
      <c r="FA17" s="56">
        <f t="shared" si="55"/>
        <v>3</v>
      </c>
      <c r="FB17" s="35">
        <v>2</v>
      </c>
      <c r="FC17" s="35">
        <v>0</v>
      </c>
      <c r="FD17" s="56">
        <f t="shared" si="56"/>
        <v>1</v>
      </c>
      <c r="FE17" s="35">
        <v>0</v>
      </c>
      <c r="FF17" s="37">
        <f t="shared" si="93"/>
        <v>66.666666666666657</v>
      </c>
      <c r="FG17" s="36" t="s">
        <v>75</v>
      </c>
      <c r="FH17" s="39">
        <v>35</v>
      </c>
      <c r="FI17" s="39">
        <v>0</v>
      </c>
      <c r="FJ17" s="7">
        <f t="shared" si="58"/>
        <v>35</v>
      </c>
      <c r="FK17" s="39">
        <v>2</v>
      </c>
      <c r="FL17" s="39">
        <v>0</v>
      </c>
      <c r="FM17" s="7">
        <f t="shared" si="59"/>
        <v>33</v>
      </c>
      <c r="FN17" s="39">
        <v>24</v>
      </c>
      <c r="FO17" s="37">
        <f t="shared" si="0"/>
        <v>5.7142857142857144</v>
      </c>
      <c r="FP17" s="36" t="s">
        <v>75</v>
      </c>
      <c r="FQ17" s="78">
        <v>49</v>
      </c>
      <c r="FR17" s="39">
        <v>0</v>
      </c>
      <c r="FS17" s="39">
        <f t="shared" si="60"/>
        <v>49</v>
      </c>
      <c r="FT17" s="78">
        <v>28</v>
      </c>
      <c r="FU17" s="39">
        <v>0</v>
      </c>
      <c r="FV17" s="39">
        <f t="shared" si="61"/>
        <v>21</v>
      </c>
      <c r="FW17" s="78">
        <v>20</v>
      </c>
      <c r="FX17" s="37">
        <f t="shared" si="62"/>
        <v>57.142857142857139</v>
      </c>
      <c r="FY17" s="36" t="s">
        <v>75</v>
      </c>
      <c r="FZ17" s="64">
        <v>21</v>
      </c>
      <c r="GA17" s="39">
        <v>0</v>
      </c>
      <c r="GB17" s="90">
        <f t="shared" si="63"/>
        <v>21</v>
      </c>
      <c r="GC17" s="64">
        <v>3</v>
      </c>
      <c r="GD17" s="39">
        <v>0</v>
      </c>
      <c r="GE17" s="90">
        <f t="shared" si="64"/>
        <v>18</v>
      </c>
      <c r="GF17" s="64">
        <v>15</v>
      </c>
      <c r="GG17" s="37">
        <f t="shared" si="1"/>
        <v>14.285714285714285</v>
      </c>
      <c r="GH17" s="36" t="s">
        <v>75</v>
      </c>
      <c r="GI17" s="39">
        <v>25</v>
      </c>
      <c r="GJ17" s="39">
        <v>26</v>
      </c>
      <c r="GK17" s="39">
        <f t="shared" si="65"/>
        <v>51</v>
      </c>
      <c r="GL17" s="39">
        <v>22</v>
      </c>
      <c r="GM17" s="39">
        <v>0</v>
      </c>
      <c r="GN17" s="39">
        <f t="shared" si="66"/>
        <v>29</v>
      </c>
      <c r="GO17" s="39">
        <v>1</v>
      </c>
      <c r="GP17" s="37">
        <f t="shared" si="67"/>
        <v>43.137254901960787</v>
      </c>
      <c r="GQ17" s="36" t="s">
        <v>75</v>
      </c>
      <c r="GR17" s="64">
        <v>35</v>
      </c>
      <c r="GS17" s="64">
        <v>5</v>
      </c>
      <c r="GT17" s="64">
        <f t="shared" si="68"/>
        <v>40</v>
      </c>
      <c r="GU17" s="64">
        <v>30</v>
      </c>
      <c r="GV17" s="64">
        <v>0</v>
      </c>
      <c r="GW17" s="64">
        <f t="shared" si="69"/>
        <v>10</v>
      </c>
      <c r="GX17" s="64">
        <v>1</v>
      </c>
      <c r="GY17" s="66">
        <f t="shared" si="70"/>
        <v>75</v>
      </c>
      <c r="GZ17" s="36" t="s">
        <v>75</v>
      </c>
      <c r="HA17" s="64">
        <v>29</v>
      </c>
      <c r="HB17" s="64">
        <v>4</v>
      </c>
      <c r="HC17" s="64">
        <f t="shared" si="71"/>
        <v>33</v>
      </c>
      <c r="HD17" s="64">
        <v>23</v>
      </c>
      <c r="HE17" s="64">
        <v>0</v>
      </c>
      <c r="HF17" s="64">
        <f t="shared" si="72"/>
        <v>10</v>
      </c>
      <c r="HG17" s="64">
        <v>2</v>
      </c>
      <c r="HH17" s="66">
        <f t="shared" si="2"/>
        <v>69.696969696969703</v>
      </c>
      <c r="HI17" s="5" t="s">
        <v>0</v>
      </c>
      <c r="HJ17" s="5">
        <v>51</v>
      </c>
      <c r="HK17" s="5">
        <v>0</v>
      </c>
      <c r="HL17" s="3">
        <f t="shared" si="73"/>
        <v>51</v>
      </c>
      <c r="HM17" s="5">
        <v>20</v>
      </c>
      <c r="HN17" s="5">
        <v>0</v>
      </c>
      <c r="HO17" s="3">
        <f t="shared" si="74"/>
        <v>31</v>
      </c>
      <c r="HP17" s="5">
        <v>16</v>
      </c>
      <c r="HQ17" s="23">
        <f t="shared" si="3"/>
        <v>39.215686274509807</v>
      </c>
      <c r="HR17" s="5" t="s">
        <v>0</v>
      </c>
      <c r="HS17" s="5">
        <v>29</v>
      </c>
      <c r="HT17" s="5">
        <v>0</v>
      </c>
      <c r="HU17" s="3">
        <f t="shared" si="75"/>
        <v>29</v>
      </c>
      <c r="HV17" s="5">
        <v>12</v>
      </c>
      <c r="HW17" s="5">
        <v>0</v>
      </c>
      <c r="HX17" s="3">
        <f t="shared" si="76"/>
        <v>17</v>
      </c>
      <c r="HY17" s="5">
        <v>10</v>
      </c>
      <c r="HZ17" s="23">
        <f t="shared" si="77"/>
        <v>41.379310344827587</v>
      </c>
      <c r="IA17" s="39" t="s">
        <v>75</v>
      </c>
      <c r="IB17" s="39">
        <v>19</v>
      </c>
      <c r="IC17" s="39">
        <v>0</v>
      </c>
      <c r="ID17" s="3">
        <f t="shared" si="78"/>
        <v>19</v>
      </c>
      <c r="IE17" s="39">
        <v>5</v>
      </c>
      <c r="IF17" s="39">
        <v>0</v>
      </c>
      <c r="IG17" s="3">
        <f t="shared" si="79"/>
        <v>14</v>
      </c>
      <c r="IH17" s="39">
        <v>13</v>
      </c>
      <c r="II17" s="40">
        <f t="shared" si="80"/>
        <v>26.315789473684209</v>
      </c>
      <c r="IJ17" s="65" t="s">
        <v>0</v>
      </c>
      <c r="IK17" s="5">
        <v>18</v>
      </c>
      <c r="IL17" s="5">
        <v>5</v>
      </c>
      <c r="IM17" s="3">
        <f t="shared" si="81"/>
        <v>23</v>
      </c>
      <c r="IN17" s="5">
        <v>10</v>
      </c>
      <c r="IO17" s="5">
        <v>0</v>
      </c>
      <c r="IP17" s="3">
        <f t="shared" si="82"/>
        <v>13</v>
      </c>
      <c r="IQ17" s="5">
        <v>2</v>
      </c>
      <c r="IR17" s="23">
        <f t="shared" si="83"/>
        <v>43.478260869565219</v>
      </c>
      <c r="IS17" s="65" t="s">
        <v>0</v>
      </c>
      <c r="IT17" s="5">
        <v>35</v>
      </c>
      <c r="IU17" s="5">
        <v>1</v>
      </c>
      <c r="IV17" s="3">
        <f t="shared" si="84"/>
        <v>36</v>
      </c>
      <c r="IW17" s="5">
        <v>28</v>
      </c>
      <c r="IX17" s="5">
        <v>0</v>
      </c>
      <c r="IY17" s="3">
        <f t="shared" si="85"/>
        <v>8</v>
      </c>
      <c r="IZ17" s="5">
        <v>1</v>
      </c>
      <c r="JA17" s="23">
        <f t="shared" si="86"/>
        <v>77.777777777777786</v>
      </c>
      <c r="JB17" s="39" t="s">
        <v>75</v>
      </c>
      <c r="JC17" s="39">
        <v>20</v>
      </c>
      <c r="JD17" s="39">
        <v>1</v>
      </c>
      <c r="JE17" s="5">
        <f t="shared" si="87"/>
        <v>21</v>
      </c>
      <c r="JF17" s="39">
        <v>12</v>
      </c>
      <c r="JG17" s="39">
        <v>0</v>
      </c>
      <c r="JH17" s="5">
        <f t="shared" si="88"/>
        <v>9</v>
      </c>
      <c r="JI17" s="39">
        <v>5</v>
      </c>
      <c r="JJ17" s="40">
        <f t="shared" si="89"/>
        <v>57.142857142857139</v>
      </c>
    </row>
    <row r="18" spans="1:270" x14ac:dyDescent="0.2">
      <c r="A18" s="1" t="s">
        <v>2</v>
      </c>
      <c r="B18" s="71">
        <v>27</v>
      </c>
      <c r="C18" s="72">
        <v>0</v>
      </c>
      <c r="D18" s="72">
        <f t="shared" si="4"/>
        <v>27</v>
      </c>
      <c r="E18" s="72">
        <v>5</v>
      </c>
      <c r="F18" s="72">
        <v>0</v>
      </c>
      <c r="G18" s="72">
        <f t="shared" si="5"/>
        <v>22</v>
      </c>
      <c r="H18" s="72">
        <v>2</v>
      </c>
      <c r="I18" s="27">
        <f t="shared" si="6"/>
        <v>18.518518518518519</v>
      </c>
      <c r="J18" s="1" t="s">
        <v>0</v>
      </c>
      <c r="K18" s="5">
        <v>31</v>
      </c>
      <c r="L18" s="5">
        <v>0</v>
      </c>
      <c r="M18" s="10">
        <f t="shared" si="7"/>
        <v>31</v>
      </c>
      <c r="N18" s="5">
        <v>8</v>
      </c>
      <c r="O18" s="5">
        <v>0</v>
      </c>
      <c r="P18" s="74">
        <f t="shared" si="8"/>
        <v>23</v>
      </c>
      <c r="Q18" s="76">
        <v>6</v>
      </c>
      <c r="R18" s="9">
        <f t="shared" si="94"/>
        <v>25.806451612903224</v>
      </c>
      <c r="S18" s="1" t="s">
        <v>0</v>
      </c>
      <c r="T18" s="5">
        <v>21</v>
      </c>
      <c r="U18" s="5">
        <v>0</v>
      </c>
      <c r="V18" s="10">
        <f t="shared" si="10"/>
        <v>21</v>
      </c>
      <c r="W18" s="5">
        <v>14</v>
      </c>
      <c r="X18" s="5">
        <v>0</v>
      </c>
      <c r="Y18" s="74">
        <f t="shared" si="11"/>
        <v>7</v>
      </c>
      <c r="Z18" s="5">
        <v>4</v>
      </c>
      <c r="AA18" s="9">
        <f t="shared" si="96"/>
        <v>66.666666666666657</v>
      </c>
      <c r="AB18" s="1" t="s">
        <v>0</v>
      </c>
      <c r="AC18" s="5">
        <v>23</v>
      </c>
      <c r="AD18" s="5">
        <v>2</v>
      </c>
      <c r="AE18" s="76">
        <f t="shared" si="13"/>
        <v>25</v>
      </c>
      <c r="AF18" s="5">
        <v>22</v>
      </c>
      <c r="AG18" s="5">
        <v>0</v>
      </c>
      <c r="AH18" s="76">
        <f t="shared" si="14"/>
        <v>3</v>
      </c>
      <c r="AI18" s="5">
        <v>2</v>
      </c>
      <c r="AJ18" s="13">
        <f t="shared" si="15"/>
        <v>88</v>
      </c>
      <c r="AK18" s="1" t="s">
        <v>0</v>
      </c>
      <c r="AL18" s="12">
        <v>19</v>
      </c>
      <c r="AM18" s="12">
        <v>7</v>
      </c>
      <c r="AN18" s="5">
        <f t="shared" si="16"/>
        <v>26</v>
      </c>
      <c r="AO18" s="12">
        <v>15</v>
      </c>
      <c r="AP18" s="12">
        <v>0</v>
      </c>
      <c r="AQ18" s="5">
        <f t="shared" si="17"/>
        <v>11</v>
      </c>
      <c r="AR18" s="12">
        <v>0</v>
      </c>
      <c r="AS18" s="14">
        <f t="shared" si="18"/>
        <v>57.692307692307686</v>
      </c>
      <c r="AT18" t="s">
        <v>75</v>
      </c>
      <c r="AU18" s="7">
        <v>12</v>
      </c>
      <c r="AV18" s="7">
        <v>5</v>
      </c>
      <c r="AW18" s="5">
        <f t="shared" si="19"/>
        <v>17</v>
      </c>
      <c r="AX18" s="7">
        <v>11</v>
      </c>
      <c r="AY18" s="7">
        <v>0</v>
      </c>
      <c r="AZ18" s="5">
        <f t="shared" si="20"/>
        <v>6</v>
      </c>
      <c r="BA18" s="7">
        <v>2</v>
      </c>
      <c r="BB18" s="8">
        <f t="shared" si="21"/>
        <v>64.705882352941174</v>
      </c>
      <c r="BC18" s="1" t="s">
        <v>3</v>
      </c>
      <c r="BD18" s="7">
        <v>29</v>
      </c>
      <c r="BE18" s="7">
        <v>0</v>
      </c>
      <c r="BF18" s="5">
        <f t="shared" si="22"/>
        <v>29</v>
      </c>
      <c r="BG18" s="7">
        <v>0</v>
      </c>
      <c r="BH18" s="7">
        <v>0</v>
      </c>
      <c r="BI18" s="5">
        <f t="shared" si="23"/>
        <v>29</v>
      </c>
      <c r="BJ18" s="7">
        <v>0</v>
      </c>
      <c r="BK18" s="8">
        <f t="shared" si="24"/>
        <v>0</v>
      </c>
      <c r="BL18" s="1" t="s">
        <v>3</v>
      </c>
      <c r="BM18" s="7">
        <v>25</v>
      </c>
      <c r="BN18" s="7">
        <v>0</v>
      </c>
      <c r="BO18" s="5">
        <f t="shared" si="25"/>
        <v>25</v>
      </c>
      <c r="BP18" s="7">
        <v>1</v>
      </c>
      <c r="BQ18" s="7">
        <v>0</v>
      </c>
      <c r="BR18" s="5">
        <f t="shared" si="26"/>
        <v>24</v>
      </c>
      <c r="BS18" s="7">
        <v>0</v>
      </c>
      <c r="BT18" s="22">
        <f t="shared" si="27"/>
        <v>4</v>
      </c>
      <c r="BU18" s="1" t="s">
        <v>2</v>
      </c>
      <c r="BV18" s="3">
        <v>30</v>
      </c>
      <c r="BW18" s="3">
        <v>0</v>
      </c>
      <c r="BX18" s="5">
        <f t="shared" si="28"/>
        <v>30</v>
      </c>
      <c r="BY18" s="3">
        <v>7</v>
      </c>
      <c r="BZ18" s="3">
        <v>0</v>
      </c>
      <c r="CA18" s="5">
        <f t="shared" si="29"/>
        <v>23</v>
      </c>
      <c r="CB18" s="3">
        <v>1</v>
      </c>
      <c r="CC18" s="4">
        <f>(BY18/BV18)*100</f>
        <v>23.333333333333332</v>
      </c>
      <c r="CD18" s="9" t="s">
        <v>3</v>
      </c>
      <c r="CE18" s="76">
        <v>22</v>
      </c>
      <c r="CF18" s="76">
        <v>12</v>
      </c>
      <c r="CG18" s="76">
        <f t="shared" si="31"/>
        <v>34</v>
      </c>
      <c r="CH18" s="76">
        <v>16</v>
      </c>
      <c r="CI18" s="76">
        <v>0</v>
      </c>
      <c r="CJ18" s="76">
        <f t="shared" si="32"/>
        <v>18</v>
      </c>
      <c r="CK18" s="76">
        <v>0</v>
      </c>
      <c r="CL18" s="23">
        <f t="shared" si="33"/>
        <v>47.058823529411761</v>
      </c>
      <c r="CM18" s="9" t="s">
        <v>0</v>
      </c>
      <c r="CN18" s="76">
        <v>49</v>
      </c>
      <c r="CO18" s="76">
        <v>4</v>
      </c>
      <c r="CP18" s="76">
        <f t="shared" si="34"/>
        <v>53</v>
      </c>
      <c r="CQ18" s="76">
        <v>45</v>
      </c>
      <c r="CR18" s="76">
        <v>0</v>
      </c>
      <c r="CS18" s="76">
        <f t="shared" si="35"/>
        <v>8</v>
      </c>
      <c r="CT18" s="76">
        <v>2</v>
      </c>
      <c r="CU18" s="9">
        <f t="shared" si="36"/>
        <v>84.905660377358487</v>
      </c>
      <c r="CV18" s="9" t="s">
        <v>3</v>
      </c>
      <c r="CW18" s="76">
        <v>58</v>
      </c>
      <c r="CX18" s="76">
        <v>44</v>
      </c>
      <c r="CY18" s="76">
        <f t="shared" si="37"/>
        <v>102</v>
      </c>
      <c r="CZ18" s="76">
        <v>47</v>
      </c>
      <c r="DA18" s="76">
        <v>0</v>
      </c>
      <c r="DB18" s="76">
        <f t="shared" si="38"/>
        <v>55</v>
      </c>
      <c r="DC18" s="76">
        <v>1</v>
      </c>
      <c r="DD18" s="23">
        <f t="shared" si="39"/>
        <v>46.078431372549019</v>
      </c>
      <c r="DE18" s="2" t="s">
        <v>1</v>
      </c>
      <c r="DF18" s="3">
        <v>20</v>
      </c>
      <c r="DG18" s="3">
        <v>0</v>
      </c>
      <c r="DH18" s="55">
        <f t="shared" si="40"/>
        <v>20</v>
      </c>
      <c r="DI18" s="3">
        <v>2</v>
      </c>
      <c r="DJ18" s="3">
        <v>0</v>
      </c>
      <c r="DK18" s="55">
        <f t="shared" si="41"/>
        <v>18</v>
      </c>
      <c r="DL18" s="3">
        <v>17</v>
      </c>
      <c r="DM18" s="4">
        <f t="shared" si="42"/>
        <v>10</v>
      </c>
      <c r="DN18" s="1" t="s">
        <v>3</v>
      </c>
      <c r="DO18">
        <v>9</v>
      </c>
      <c r="DP18">
        <v>0</v>
      </c>
      <c r="DQ18">
        <f t="shared" si="43"/>
        <v>9</v>
      </c>
      <c r="DR18">
        <v>1</v>
      </c>
      <c r="DS18">
        <v>0</v>
      </c>
      <c r="DT18">
        <f t="shared" si="44"/>
        <v>8</v>
      </c>
      <c r="DU18">
        <v>7</v>
      </c>
      <c r="DV18" s="11">
        <f t="shared" si="45"/>
        <v>11.111111111111111</v>
      </c>
      <c r="DW18" s="68" t="s">
        <v>189</v>
      </c>
      <c r="DX18" s="97">
        <v>10</v>
      </c>
      <c r="DY18" s="39">
        <v>0</v>
      </c>
      <c r="DZ18" s="55">
        <f t="shared" si="46"/>
        <v>10</v>
      </c>
      <c r="EA18" s="7">
        <v>5</v>
      </c>
      <c r="EB18" s="39">
        <v>0</v>
      </c>
      <c r="EC18" s="55">
        <f t="shared" si="47"/>
        <v>5</v>
      </c>
      <c r="ED18" s="7">
        <v>1</v>
      </c>
      <c r="EE18" s="83">
        <f t="shared" si="95"/>
        <v>50</v>
      </c>
      <c r="EF18" s="68" t="s">
        <v>3</v>
      </c>
      <c r="EG18" s="35">
        <v>18</v>
      </c>
      <c r="EH18" s="35">
        <v>2</v>
      </c>
      <c r="EI18" s="34">
        <f t="shared" si="49"/>
        <v>20</v>
      </c>
      <c r="EJ18" s="35">
        <v>13</v>
      </c>
      <c r="EK18" s="35">
        <v>0</v>
      </c>
      <c r="EL18" s="34">
        <f t="shared" si="50"/>
        <v>7</v>
      </c>
      <c r="EM18" s="35">
        <v>1</v>
      </c>
      <c r="EN18" s="37">
        <f t="shared" si="91"/>
        <v>65</v>
      </c>
      <c r="EO18" s="68" t="s">
        <v>3</v>
      </c>
      <c r="EP18" s="35">
        <v>9</v>
      </c>
      <c r="EQ18" s="35">
        <v>0</v>
      </c>
      <c r="ER18" s="34">
        <f t="shared" si="52"/>
        <v>9</v>
      </c>
      <c r="ES18" s="35">
        <v>8</v>
      </c>
      <c r="ET18" s="35">
        <v>0</v>
      </c>
      <c r="EU18" s="34">
        <f t="shared" si="53"/>
        <v>1</v>
      </c>
      <c r="EV18" s="35">
        <v>1</v>
      </c>
      <c r="EW18" s="38">
        <f t="shared" si="92"/>
        <v>88.888888888888886</v>
      </c>
      <c r="EX18" s="68" t="s">
        <v>3</v>
      </c>
      <c r="EY18" s="35">
        <v>40</v>
      </c>
      <c r="EZ18" s="35">
        <v>0</v>
      </c>
      <c r="FA18" s="56">
        <f t="shared" si="55"/>
        <v>40</v>
      </c>
      <c r="FB18" s="35">
        <v>35</v>
      </c>
      <c r="FC18" s="35">
        <v>0</v>
      </c>
      <c r="FD18" s="56">
        <f t="shared" si="56"/>
        <v>5</v>
      </c>
      <c r="FE18" s="35">
        <v>1</v>
      </c>
      <c r="FF18" s="37">
        <f t="shared" si="93"/>
        <v>87.5</v>
      </c>
      <c r="FG18" s="36" t="s">
        <v>75</v>
      </c>
      <c r="FH18" s="39">
        <v>41</v>
      </c>
      <c r="FI18" s="39">
        <v>0</v>
      </c>
      <c r="FJ18" s="7">
        <f t="shared" si="58"/>
        <v>41</v>
      </c>
      <c r="FK18" s="39">
        <v>1</v>
      </c>
      <c r="FL18" s="39">
        <v>0</v>
      </c>
      <c r="FM18" s="7">
        <f t="shared" si="59"/>
        <v>40</v>
      </c>
      <c r="FN18" s="39">
        <v>13</v>
      </c>
      <c r="FO18" s="37">
        <f t="shared" si="0"/>
        <v>2.4390243902439024</v>
      </c>
      <c r="FP18" s="36" t="s">
        <v>75</v>
      </c>
      <c r="FQ18" s="79">
        <v>47</v>
      </c>
      <c r="FR18" s="39">
        <v>0</v>
      </c>
      <c r="FS18" s="39">
        <f t="shared" si="60"/>
        <v>47</v>
      </c>
      <c r="FT18" s="79">
        <v>27</v>
      </c>
      <c r="FU18" s="39">
        <v>0</v>
      </c>
      <c r="FV18" s="39">
        <f t="shared" si="61"/>
        <v>20</v>
      </c>
      <c r="FW18" s="79">
        <v>11</v>
      </c>
      <c r="FX18" s="37">
        <f t="shared" si="62"/>
        <v>57.446808510638306</v>
      </c>
      <c r="FY18" s="36" t="s">
        <v>75</v>
      </c>
      <c r="FZ18" s="64">
        <v>31</v>
      </c>
      <c r="GA18" s="39">
        <v>0</v>
      </c>
      <c r="GB18" s="90">
        <f t="shared" si="63"/>
        <v>31</v>
      </c>
      <c r="GC18" s="64">
        <v>5</v>
      </c>
      <c r="GD18" s="39">
        <v>0</v>
      </c>
      <c r="GE18" s="90">
        <f t="shared" si="64"/>
        <v>26</v>
      </c>
      <c r="GF18" s="64">
        <v>23</v>
      </c>
      <c r="GG18" s="37">
        <f t="shared" si="1"/>
        <v>16.129032258064516</v>
      </c>
      <c r="GH18" s="36" t="s">
        <v>75</v>
      </c>
      <c r="GI18" s="39">
        <v>31</v>
      </c>
      <c r="GJ18" s="39">
        <v>15</v>
      </c>
      <c r="GK18" s="39">
        <f t="shared" si="65"/>
        <v>46</v>
      </c>
      <c r="GL18" s="39">
        <v>30</v>
      </c>
      <c r="GM18" s="39">
        <v>0</v>
      </c>
      <c r="GN18" s="39">
        <f t="shared" si="66"/>
        <v>16</v>
      </c>
      <c r="GO18" s="39">
        <v>1</v>
      </c>
      <c r="GP18" s="37">
        <f t="shared" si="67"/>
        <v>65.217391304347828</v>
      </c>
      <c r="GQ18" s="36" t="s">
        <v>75</v>
      </c>
      <c r="GR18" s="64">
        <v>76</v>
      </c>
      <c r="GS18" s="64">
        <v>5</v>
      </c>
      <c r="GT18" s="64">
        <f t="shared" si="68"/>
        <v>81</v>
      </c>
      <c r="GU18" s="64">
        <v>72</v>
      </c>
      <c r="GV18" s="64">
        <v>0</v>
      </c>
      <c r="GW18" s="64">
        <f t="shared" si="69"/>
        <v>9</v>
      </c>
      <c r="GX18" s="64">
        <v>1</v>
      </c>
      <c r="GY18" s="66">
        <f t="shared" si="70"/>
        <v>88.888888888888886</v>
      </c>
      <c r="GZ18" s="36" t="s">
        <v>75</v>
      </c>
      <c r="HA18" s="64">
        <v>12</v>
      </c>
      <c r="HB18" s="64">
        <v>1</v>
      </c>
      <c r="HC18" s="64">
        <f t="shared" si="71"/>
        <v>13</v>
      </c>
      <c r="HD18" s="64">
        <v>6</v>
      </c>
      <c r="HE18" s="64">
        <v>0</v>
      </c>
      <c r="HF18" s="64">
        <f t="shared" si="72"/>
        <v>7</v>
      </c>
      <c r="HG18" s="64">
        <v>2</v>
      </c>
      <c r="HH18" s="66">
        <f t="shared" si="2"/>
        <v>46.153846153846153</v>
      </c>
      <c r="HI18" s="5" t="s">
        <v>0</v>
      </c>
      <c r="HJ18" s="5">
        <v>36</v>
      </c>
      <c r="HK18" s="5">
        <v>0</v>
      </c>
      <c r="HL18" s="3">
        <f t="shared" si="73"/>
        <v>36</v>
      </c>
      <c r="HM18" s="5">
        <v>8</v>
      </c>
      <c r="HN18" s="5">
        <v>0</v>
      </c>
      <c r="HO18" s="3">
        <f t="shared" si="74"/>
        <v>28</v>
      </c>
      <c r="HP18" s="5">
        <v>11</v>
      </c>
      <c r="HQ18" s="23">
        <f t="shared" si="3"/>
        <v>22.222222222222221</v>
      </c>
      <c r="HR18" s="5" t="s">
        <v>0</v>
      </c>
      <c r="HS18" s="5">
        <v>43</v>
      </c>
      <c r="HT18" s="5">
        <v>0</v>
      </c>
      <c r="HU18" s="3">
        <f t="shared" si="75"/>
        <v>43</v>
      </c>
      <c r="HV18" s="5">
        <v>20</v>
      </c>
      <c r="HW18" s="5">
        <v>0</v>
      </c>
      <c r="HX18" s="3">
        <f t="shared" si="76"/>
        <v>23</v>
      </c>
      <c r="HY18" s="5">
        <v>12</v>
      </c>
      <c r="HZ18" s="23">
        <f t="shared" si="77"/>
        <v>46.511627906976742</v>
      </c>
      <c r="IA18" s="39" t="s">
        <v>75</v>
      </c>
      <c r="IB18" s="39">
        <v>21</v>
      </c>
      <c r="IC18" s="39">
        <v>0</v>
      </c>
      <c r="ID18" s="3">
        <f t="shared" si="78"/>
        <v>21</v>
      </c>
      <c r="IE18" s="39">
        <v>5</v>
      </c>
      <c r="IF18" s="39">
        <v>0</v>
      </c>
      <c r="IG18" s="3">
        <f t="shared" si="79"/>
        <v>16</v>
      </c>
      <c r="IH18" s="39">
        <v>15</v>
      </c>
      <c r="II18" s="40">
        <f t="shared" si="80"/>
        <v>23.809523809523807</v>
      </c>
      <c r="IJ18" s="65" t="s">
        <v>0</v>
      </c>
      <c r="IK18" s="5">
        <v>23</v>
      </c>
      <c r="IL18" s="5">
        <v>5</v>
      </c>
      <c r="IM18" s="3">
        <f t="shared" si="81"/>
        <v>28</v>
      </c>
      <c r="IN18" s="5">
        <v>17</v>
      </c>
      <c r="IO18" s="5">
        <v>0</v>
      </c>
      <c r="IP18" s="3">
        <f t="shared" si="82"/>
        <v>11</v>
      </c>
      <c r="IQ18" s="5">
        <v>0</v>
      </c>
      <c r="IR18" s="23">
        <f t="shared" si="83"/>
        <v>60.714285714285708</v>
      </c>
      <c r="IS18" s="65" t="s">
        <v>0</v>
      </c>
      <c r="IT18" s="5">
        <v>23</v>
      </c>
      <c r="IU18" s="5">
        <v>2</v>
      </c>
      <c r="IV18" s="3">
        <f t="shared" si="84"/>
        <v>25</v>
      </c>
      <c r="IW18" s="5">
        <v>14</v>
      </c>
      <c r="IX18" s="5">
        <v>0</v>
      </c>
      <c r="IY18" s="3">
        <f t="shared" si="85"/>
        <v>11</v>
      </c>
      <c r="IZ18" s="5">
        <v>3</v>
      </c>
      <c r="JA18" s="23">
        <f t="shared" si="86"/>
        <v>56.000000000000007</v>
      </c>
      <c r="JB18" s="39" t="s">
        <v>75</v>
      </c>
      <c r="JC18" s="39">
        <v>29</v>
      </c>
      <c r="JD18" s="39">
        <v>1</v>
      </c>
      <c r="JE18" s="5">
        <f t="shared" si="87"/>
        <v>30</v>
      </c>
      <c r="JF18" s="39">
        <v>17</v>
      </c>
      <c r="JG18" s="39">
        <v>0</v>
      </c>
      <c r="JH18" s="5">
        <f t="shared" si="88"/>
        <v>13</v>
      </c>
      <c r="JI18" s="39">
        <v>3</v>
      </c>
      <c r="JJ18" s="40">
        <f t="shared" si="89"/>
        <v>56.666666666666664</v>
      </c>
    </row>
    <row r="19" spans="1:270" x14ac:dyDescent="0.2">
      <c r="A19" s="1" t="s">
        <v>2</v>
      </c>
      <c r="B19" s="73">
        <v>33</v>
      </c>
      <c r="C19" s="74">
        <v>0</v>
      </c>
      <c r="D19" s="72">
        <f t="shared" si="4"/>
        <v>33</v>
      </c>
      <c r="E19" s="74">
        <v>5</v>
      </c>
      <c r="F19" s="74">
        <v>0</v>
      </c>
      <c r="G19" s="72">
        <f t="shared" si="5"/>
        <v>28</v>
      </c>
      <c r="H19" s="74">
        <v>12</v>
      </c>
      <c r="I19" s="28">
        <f t="shared" ref="I19:I33" si="97">(E19/B19)*100</f>
        <v>15.151515151515152</v>
      </c>
      <c r="J19" s="1" t="s">
        <v>0</v>
      </c>
      <c r="K19" s="5">
        <v>35</v>
      </c>
      <c r="L19" s="5">
        <v>0</v>
      </c>
      <c r="M19" s="10">
        <f t="shared" si="7"/>
        <v>35</v>
      </c>
      <c r="N19" s="5">
        <v>14</v>
      </c>
      <c r="O19" s="5">
        <v>0</v>
      </c>
      <c r="P19" s="74">
        <f t="shared" si="8"/>
        <v>21</v>
      </c>
      <c r="Q19" s="76">
        <v>5</v>
      </c>
      <c r="R19" s="9">
        <f t="shared" si="94"/>
        <v>40</v>
      </c>
      <c r="S19" s="1" t="s">
        <v>0</v>
      </c>
      <c r="T19" s="5">
        <v>28</v>
      </c>
      <c r="U19" s="5">
        <v>0</v>
      </c>
      <c r="V19" s="10">
        <f t="shared" si="10"/>
        <v>28</v>
      </c>
      <c r="W19" s="5">
        <v>8</v>
      </c>
      <c r="X19" s="5">
        <v>0</v>
      </c>
      <c r="Y19" s="74">
        <f t="shared" si="11"/>
        <v>20</v>
      </c>
      <c r="Z19" s="5">
        <v>9</v>
      </c>
      <c r="AA19" s="9">
        <f t="shared" si="96"/>
        <v>28.571428571428569</v>
      </c>
      <c r="AB19" s="1" t="s">
        <v>0</v>
      </c>
      <c r="AC19" s="5">
        <v>14</v>
      </c>
      <c r="AD19" s="5">
        <v>5</v>
      </c>
      <c r="AE19" s="76">
        <f t="shared" si="13"/>
        <v>19</v>
      </c>
      <c r="AF19" s="5">
        <v>14</v>
      </c>
      <c r="AG19" s="5">
        <v>0</v>
      </c>
      <c r="AH19" s="76">
        <f t="shared" si="14"/>
        <v>5</v>
      </c>
      <c r="AI19" s="5">
        <v>0</v>
      </c>
      <c r="AJ19" s="13">
        <f t="shared" si="15"/>
        <v>73.68421052631578</v>
      </c>
      <c r="AK19" s="1" t="s">
        <v>0</v>
      </c>
      <c r="AL19" s="12">
        <v>25</v>
      </c>
      <c r="AM19" s="12">
        <v>4</v>
      </c>
      <c r="AN19" s="5">
        <f t="shared" si="16"/>
        <v>29</v>
      </c>
      <c r="AO19" s="12">
        <v>21</v>
      </c>
      <c r="AP19" s="12">
        <v>0</v>
      </c>
      <c r="AQ19" s="5">
        <f t="shared" si="17"/>
        <v>8</v>
      </c>
      <c r="AR19" s="12">
        <v>2</v>
      </c>
      <c r="AS19" s="14">
        <f t="shared" si="18"/>
        <v>72.41379310344827</v>
      </c>
      <c r="AT19" t="s">
        <v>75</v>
      </c>
      <c r="AU19" s="7">
        <v>27</v>
      </c>
      <c r="AV19" s="7">
        <v>4</v>
      </c>
      <c r="AW19" s="5">
        <f t="shared" si="19"/>
        <v>31</v>
      </c>
      <c r="AX19" s="7">
        <v>22</v>
      </c>
      <c r="AY19" s="7">
        <v>0</v>
      </c>
      <c r="AZ19" s="5">
        <f t="shared" si="20"/>
        <v>9</v>
      </c>
      <c r="BA19" s="7">
        <v>0</v>
      </c>
      <c r="BB19" s="8">
        <f t="shared" si="21"/>
        <v>70.967741935483872</v>
      </c>
      <c r="BC19" s="1" t="s">
        <v>3</v>
      </c>
      <c r="BD19" s="7">
        <v>36</v>
      </c>
      <c r="BE19" s="7">
        <v>0</v>
      </c>
      <c r="BF19" s="5">
        <f t="shared" si="22"/>
        <v>36</v>
      </c>
      <c r="BG19" s="7">
        <v>1</v>
      </c>
      <c r="BH19" s="7">
        <v>0</v>
      </c>
      <c r="BI19" s="5">
        <f t="shared" si="23"/>
        <v>35</v>
      </c>
      <c r="BJ19" s="7">
        <v>1</v>
      </c>
      <c r="BK19" s="8">
        <f t="shared" si="24"/>
        <v>2.7777777777777777</v>
      </c>
      <c r="BL19" s="1" t="s">
        <v>3</v>
      </c>
      <c r="BM19" s="7">
        <v>34</v>
      </c>
      <c r="BN19" s="7">
        <v>0</v>
      </c>
      <c r="BO19" s="5">
        <f t="shared" si="25"/>
        <v>34</v>
      </c>
      <c r="BP19" s="7">
        <v>1</v>
      </c>
      <c r="BQ19" s="7">
        <v>0</v>
      </c>
      <c r="BR19" s="5">
        <f t="shared" si="26"/>
        <v>33</v>
      </c>
      <c r="BS19" s="7">
        <v>1</v>
      </c>
      <c r="BT19" s="22">
        <f t="shared" si="27"/>
        <v>2.9411764705882351</v>
      </c>
      <c r="BU19" s="1" t="s">
        <v>2</v>
      </c>
      <c r="BV19" s="3">
        <v>54</v>
      </c>
      <c r="BW19" s="3">
        <v>0</v>
      </c>
      <c r="BX19" s="5">
        <f t="shared" si="28"/>
        <v>54</v>
      </c>
      <c r="BY19" s="3">
        <v>20</v>
      </c>
      <c r="BZ19" s="3">
        <v>0</v>
      </c>
      <c r="CA19" s="5">
        <f t="shared" si="29"/>
        <v>34</v>
      </c>
      <c r="CB19" s="3">
        <v>1</v>
      </c>
      <c r="CC19" s="4">
        <f t="shared" ref="CC19:CC31" si="98">(BY19/BV19)*100</f>
        <v>37.037037037037038</v>
      </c>
      <c r="CD19" s="9" t="s">
        <v>3</v>
      </c>
      <c r="CE19" s="76">
        <v>43</v>
      </c>
      <c r="CF19" s="76">
        <v>9</v>
      </c>
      <c r="CG19" s="76">
        <f t="shared" si="31"/>
        <v>52</v>
      </c>
      <c r="CH19" s="76">
        <v>36</v>
      </c>
      <c r="CI19" s="76">
        <v>0</v>
      </c>
      <c r="CJ19" s="76">
        <f t="shared" si="32"/>
        <v>16</v>
      </c>
      <c r="CK19" s="76">
        <v>0</v>
      </c>
      <c r="CL19" s="23">
        <f t="shared" si="33"/>
        <v>69.230769230769226</v>
      </c>
      <c r="CM19" s="9" t="s">
        <v>0</v>
      </c>
      <c r="CN19" s="76">
        <v>31</v>
      </c>
      <c r="CO19" s="76">
        <v>3</v>
      </c>
      <c r="CP19" s="76">
        <f t="shared" si="34"/>
        <v>34</v>
      </c>
      <c r="CQ19" s="76">
        <v>22</v>
      </c>
      <c r="CR19" s="76">
        <v>0</v>
      </c>
      <c r="CS19" s="76">
        <f t="shared" si="35"/>
        <v>12</v>
      </c>
      <c r="CT19" s="76">
        <v>0</v>
      </c>
      <c r="CU19" s="9">
        <f t="shared" si="36"/>
        <v>64.705882352941174</v>
      </c>
      <c r="CV19" s="9" t="s">
        <v>3</v>
      </c>
      <c r="CW19" s="76">
        <v>49</v>
      </c>
      <c r="CX19" s="76">
        <v>22</v>
      </c>
      <c r="CY19" s="76">
        <f t="shared" si="37"/>
        <v>71</v>
      </c>
      <c r="CZ19" s="76">
        <v>41</v>
      </c>
      <c r="DA19" s="76">
        <v>0</v>
      </c>
      <c r="DB19" s="76">
        <f t="shared" si="38"/>
        <v>30</v>
      </c>
      <c r="DC19" s="76">
        <v>0</v>
      </c>
      <c r="DD19" s="23">
        <f t="shared" si="39"/>
        <v>57.74647887323944</v>
      </c>
      <c r="DE19" s="2" t="s">
        <v>1</v>
      </c>
      <c r="DF19" s="3">
        <v>26</v>
      </c>
      <c r="DG19" s="3">
        <v>0</v>
      </c>
      <c r="DH19" s="55">
        <f t="shared" si="40"/>
        <v>26</v>
      </c>
      <c r="DI19" s="3">
        <v>2</v>
      </c>
      <c r="DJ19" s="3">
        <v>0</v>
      </c>
      <c r="DK19" s="55">
        <f t="shared" si="41"/>
        <v>24</v>
      </c>
      <c r="DL19" s="3">
        <v>20</v>
      </c>
      <c r="DM19" s="4">
        <f t="shared" si="42"/>
        <v>7.6923076923076925</v>
      </c>
      <c r="DN19" s="1" t="s">
        <v>3</v>
      </c>
      <c r="DO19">
        <v>14</v>
      </c>
      <c r="DP19">
        <v>0</v>
      </c>
      <c r="DQ19">
        <f t="shared" si="43"/>
        <v>14</v>
      </c>
      <c r="DR19">
        <v>2</v>
      </c>
      <c r="DS19">
        <v>0</v>
      </c>
      <c r="DT19">
        <f t="shared" si="44"/>
        <v>12</v>
      </c>
      <c r="DU19">
        <v>14</v>
      </c>
      <c r="DV19" s="11">
        <f t="shared" si="45"/>
        <v>14.285714285714285</v>
      </c>
      <c r="DW19" s="68" t="s">
        <v>189</v>
      </c>
      <c r="DX19" s="97">
        <v>8</v>
      </c>
      <c r="DY19" s="39">
        <v>0</v>
      </c>
      <c r="DZ19" s="55">
        <f t="shared" si="46"/>
        <v>8</v>
      </c>
      <c r="EA19" s="7">
        <v>4</v>
      </c>
      <c r="EB19" s="39">
        <v>0</v>
      </c>
      <c r="EC19" s="55">
        <f t="shared" si="47"/>
        <v>4</v>
      </c>
      <c r="ED19" s="7">
        <v>3</v>
      </c>
      <c r="EE19" s="83">
        <f t="shared" si="95"/>
        <v>50</v>
      </c>
      <c r="EF19" s="68" t="s">
        <v>3</v>
      </c>
      <c r="EG19" s="35">
        <v>11</v>
      </c>
      <c r="EH19" s="35">
        <v>0</v>
      </c>
      <c r="EI19" s="34">
        <f t="shared" si="49"/>
        <v>11</v>
      </c>
      <c r="EJ19" s="35">
        <v>11</v>
      </c>
      <c r="EK19" s="35">
        <v>0</v>
      </c>
      <c r="EL19" s="34">
        <f t="shared" si="50"/>
        <v>0</v>
      </c>
      <c r="EM19" s="35">
        <v>1</v>
      </c>
      <c r="EN19" s="37">
        <f t="shared" si="91"/>
        <v>100</v>
      </c>
      <c r="EO19" s="68" t="s">
        <v>3</v>
      </c>
      <c r="EP19" s="35">
        <v>5</v>
      </c>
      <c r="EQ19" s="35">
        <v>0</v>
      </c>
      <c r="ER19" s="34">
        <f t="shared" si="52"/>
        <v>5</v>
      </c>
      <c r="ES19" s="35">
        <v>4</v>
      </c>
      <c r="ET19" s="35">
        <v>0</v>
      </c>
      <c r="EU19" s="34">
        <f t="shared" si="53"/>
        <v>1</v>
      </c>
      <c r="EV19" s="35">
        <v>0</v>
      </c>
      <c r="EW19" s="38">
        <f t="shared" si="92"/>
        <v>80</v>
      </c>
      <c r="EX19" s="68" t="s">
        <v>3</v>
      </c>
      <c r="EY19" s="35">
        <v>15</v>
      </c>
      <c r="EZ19" s="35">
        <v>2</v>
      </c>
      <c r="FA19" s="56">
        <f t="shared" si="55"/>
        <v>17</v>
      </c>
      <c r="FB19" s="35">
        <v>15</v>
      </c>
      <c r="FC19" s="35">
        <v>0</v>
      </c>
      <c r="FD19" s="56">
        <f t="shared" si="56"/>
        <v>2</v>
      </c>
      <c r="FE19" s="35">
        <v>2</v>
      </c>
      <c r="FF19" s="37">
        <f t="shared" si="93"/>
        <v>88.235294117647058</v>
      </c>
      <c r="FG19" s="36" t="s">
        <v>75</v>
      </c>
      <c r="FH19" s="39">
        <v>44</v>
      </c>
      <c r="FI19" s="39">
        <v>0</v>
      </c>
      <c r="FJ19" s="7">
        <f t="shared" si="58"/>
        <v>44</v>
      </c>
      <c r="FK19" s="39">
        <v>3</v>
      </c>
      <c r="FL19" s="39">
        <v>0</v>
      </c>
      <c r="FM19" s="7">
        <f t="shared" si="59"/>
        <v>41</v>
      </c>
      <c r="FN19" s="39">
        <v>14</v>
      </c>
      <c r="FO19" s="37">
        <f t="shared" si="0"/>
        <v>6.8181818181818175</v>
      </c>
      <c r="FP19" s="36" t="s">
        <v>75</v>
      </c>
      <c r="FQ19" s="79">
        <v>65</v>
      </c>
      <c r="FR19" s="39">
        <v>0</v>
      </c>
      <c r="FS19" s="39">
        <f t="shared" si="60"/>
        <v>65</v>
      </c>
      <c r="FT19" s="79">
        <v>36</v>
      </c>
      <c r="FU19" s="39">
        <v>0</v>
      </c>
      <c r="FV19" s="39">
        <f t="shared" si="61"/>
        <v>29</v>
      </c>
      <c r="FW19" s="79">
        <v>21</v>
      </c>
      <c r="FX19" s="37">
        <f t="shared" si="62"/>
        <v>55.384615384615387</v>
      </c>
      <c r="FY19" s="68" t="s">
        <v>181</v>
      </c>
      <c r="FZ19" s="64">
        <v>30</v>
      </c>
      <c r="GA19" s="39">
        <v>0</v>
      </c>
      <c r="GB19" s="90">
        <f t="shared" si="63"/>
        <v>30</v>
      </c>
      <c r="GC19" s="64">
        <v>7</v>
      </c>
      <c r="GD19" s="39">
        <v>0</v>
      </c>
      <c r="GE19" s="90">
        <f t="shared" si="64"/>
        <v>23</v>
      </c>
      <c r="GF19" s="64">
        <v>8</v>
      </c>
      <c r="GG19" s="37">
        <f t="shared" si="1"/>
        <v>23.333333333333332</v>
      </c>
      <c r="GH19" s="36" t="s">
        <v>75</v>
      </c>
      <c r="GI19" s="39">
        <v>11</v>
      </c>
      <c r="GJ19" s="39">
        <v>11</v>
      </c>
      <c r="GK19" s="39">
        <f t="shared" si="65"/>
        <v>22</v>
      </c>
      <c r="GL19" s="39">
        <v>10</v>
      </c>
      <c r="GM19" s="39">
        <v>0</v>
      </c>
      <c r="GN19" s="39">
        <f t="shared" si="66"/>
        <v>12</v>
      </c>
      <c r="GO19" s="39">
        <v>0</v>
      </c>
      <c r="GP19" s="37">
        <f t="shared" si="67"/>
        <v>45.454545454545453</v>
      </c>
      <c r="GQ19" s="36" t="s">
        <v>75</v>
      </c>
      <c r="GR19" s="64">
        <v>66</v>
      </c>
      <c r="GS19" s="64">
        <v>10</v>
      </c>
      <c r="GT19" s="64">
        <f t="shared" si="68"/>
        <v>76</v>
      </c>
      <c r="GU19" s="64">
        <v>63</v>
      </c>
      <c r="GV19" s="64">
        <v>0</v>
      </c>
      <c r="GW19" s="64">
        <f t="shared" si="69"/>
        <v>13</v>
      </c>
      <c r="GX19" s="64">
        <v>5</v>
      </c>
      <c r="GY19" s="66">
        <f t="shared" si="70"/>
        <v>82.89473684210526</v>
      </c>
      <c r="GZ19" s="36" t="s">
        <v>75</v>
      </c>
      <c r="HA19" s="64">
        <v>24</v>
      </c>
      <c r="HB19" s="64">
        <v>2</v>
      </c>
      <c r="HC19" s="64">
        <f t="shared" si="71"/>
        <v>26</v>
      </c>
      <c r="HD19" s="64">
        <v>16</v>
      </c>
      <c r="HE19" s="64">
        <v>0</v>
      </c>
      <c r="HF19" s="64">
        <f t="shared" si="72"/>
        <v>10</v>
      </c>
      <c r="HG19" s="64">
        <v>3</v>
      </c>
      <c r="HH19" s="66">
        <f t="shared" si="2"/>
        <v>61.53846153846154</v>
      </c>
      <c r="HI19" s="5" t="s">
        <v>0</v>
      </c>
      <c r="HJ19" s="5">
        <v>34</v>
      </c>
      <c r="HK19" s="5">
        <v>0</v>
      </c>
      <c r="HL19" s="3">
        <f t="shared" si="73"/>
        <v>34</v>
      </c>
      <c r="HM19" s="5">
        <v>13</v>
      </c>
      <c r="HN19" s="5">
        <v>0</v>
      </c>
      <c r="HO19" s="3">
        <f t="shared" si="74"/>
        <v>21</v>
      </c>
      <c r="HP19" s="5">
        <v>13</v>
      </c>
      <c r="HQ19" s="23">
        <f t="shared" si="3"/>
        <v>38.235294117647058</v>
      </c>
      <c r="HR19" s="5" t="s">
        <v>0</v>
      </c>
      <c r="HS19" s="5">
        <v>34</v>
      </c>
      <c r="HT19" s="5">
        <v>0</v>
      </c>
      <c r="HU19" s="3">
        <f t="shared" si="75"/>
        <v>34</v>
      </c>
      <c r="HV19" s="5">
        <v>15</v>
      </c>
      <c r="HW19" s="5">
        <v>0</v>
      </c>
      <c r="HX19" s="3">
        <f t="shared" si="76"/>
        <v>19</v>
      </c>
      <c r="HY19" s="5">
        <v>11</v>
      </c>
      <c r="HZ19" s="23">
        <f t="shared" si="77"/>
        <v>44.117647058823529</v>
      </c>
      <c r="IA19" s="39" t="s">
        <v>75</v>
      </c>
      <c r="IB19" s="39">
        <v>24</v>
      </c>
      <c r="IC19" s="39">
        <v>0</v>
      </c>
      <c r="ID19" s="3">
        <f t="shared" si="78"/>
        <v>24</v>
      </c>
      <c r="IE19" s="39">
        <v>7</v>
      </c>
      <c r="IF19" s="39">
        <v>0</v>
      </c>
      <c r="IG19" s="3">
        <f t="shared" si="79"/>
        <v>17</v>
      </c>
      <c r="IH19" s="39">
        <v>11</v>
      </c>
      <c r="II19" s="40">
        <f t="shared" si="80"/>
        <v>29.166666666666668</v>
      </c>
      <c r="IJ19" s="65" t="s">
        <v>0</v>
      </c>
      <c r="IK19" s="5">
        <v>21</v>
      </c>
      <c r="IL19" s="5">
        <v>8</v>
      </c>
      <c r="IM19" s="3">
        <f t="shared" si="81"/>
        <v>29</v>
      </c>
      <c r="IN19" s="5">
        <v>13</v>
      </c>
      <c r="IO19" s="5">
        <v>0</v>
      </c>
      <c r="IP19" s="3">
        <f t="shared" si="82"/>
        <v>16</v>
      </c>
      <c r="IQ19" s="5">
        <v>5</v>
      </c>
      <c r="IR19" s="23">
        <f t="shared" si="83"/>
        <v>44.827586206896555</v>
      </c>
      <c r="IS19" s="65" t="s">
        <v>0</v>
      </c>
      <c r="IT19" s="5">
        <v>25</v>
      </c>
      <c r="IU19" s="5">
        <v>2</v>
      </c>
      <c r="IV19" s="3">
        <f t="shared" si="84"/>
        <v>27</v>
      </c>
      <c r="IW19" s="5">
        <v>18</v>
      </c>
      <c r="IX19" s="5">
        <v>0</v>
      </c>
      <c r="IY19" s="3">
        <f t="shared" si="85"/>
        <v>9</v>
      </c>
      <c r="IZ19" s="5">
        <v>2</v>
      </c>
      <c r="JA19" s="23">
        <f t="shared" si="86"/>
        <v>66.666666666666657</v>
      </c>
      <c r="JB19" s="39" t="s">
        <v>75</v>
      </c>
      <c r="JC19" s="39">
        <v>22</v>
      </c>
      <c r="JD19" s="39">
        <v>0</v>
      </c>
      <c r="JE19" s="5">
        <f t="shared" si="87"/>
        <v>22</v>
      </c>
      <c r="JF19" s="39">
        <v>13</v>
      </c>
      <c r="JG19" s="39">
        <v>0</v>
      </c>
      <c r="JH19" s="5">
        <f t="shared" si="88"/>
        <v>9</v>
      </c>
      <c r="JI19" s="39">
        <v>4</v>
      </c>
      <c r="JJ19" s="40">
        <f t="shared" si="89"/>
        <v>59.090909090909093</v>
      </c>
    </row>
    <row r="20" spans="1:270" x14ac:dyDescent="0.2">
      <c r="A20" s="1" t="s">
        <v>2</v>
      </c>
      <c r="B20" s="71">
        <v>30</v>
      </c>
      <c r="C20" s="74">
        <v>0</v>
      </c>
      <c r="D20" s="72">
        <f t="shared" si="4"/>
        <v>30</v>
      </c>
      <c r="E20" s="72">
        <v>4</v>
      </c>
      <c r="F20" s="74">
        <v>0</v>
      </c>
      <c r="G20" s="72">
        <f t="shared" si="5"/>
        <v>26</v>
      </c>
      <c r="H20" s="72">
        <v>9</v>
      </c>
      <c r="I20" s="28">
        <f t="shared" si="97"/>
        <v>13.333333333333334</v>
      </c>
      <c r="J20" s="1" t="s">
        <v>0</v>
      </c>
      <c r="K20" s="5">
        <v>36</v>
      </c>
      <c r="L20" s="5">
        <v>0</v>
      </c>
      <c r="M20" s="10">
        <f t="shared" si="7"/>
        <v>36</v>
      </c>
      <c r="N20" s="5">
        <v>9</v>
      </c>
      <c r="O20" s="5">
        <v>0</v>
      </c>
      <c r="P20" s="74">
        <f t="shared" si="8"/>
        <v>27</v>
      </c>
      <c r="Q20" s="76">
        <v>6</v>
      </c>
      <c r="R20" s="9">
        <f t="shared" si="94"/>
        <v>25</v>
      </c>
      <c r="S20" s="1" t="s">
        <v>0</v>
      </c>
      <c r="T20" s="5">
        <v>28</v>
      </c>
      <c r="U20" s="5">
        <v>0</v>
      </c>
      <c r="V20" s="10">
        <f t="shared" si="10"/>
        <v>28</v>
      </c>
      <c r="W20" s="5">
        <v>13</v>
      </c>
      <c r="X20" s="5">
        <v>0</v>
      </c>
      <c r="Y20" s="74">
        <f t="shared" si="11"/>
        <v>15</v>
      </c>
      <c r="Z20" s="5">
        <v>4</v>
      </c>
      <c r="AA20" s="9">
        <f t="shared" si="96"/>
        <v>46.428571428571431</v>
      </c>
      <c r="AB20" s="1" t="s">
        <v>0</v>
      </c>
      <c r="AC20" s="5">
        <v>24</v>
      </c>
      <c r="AD20" s="5">
        <v>4</v>
      </c>
      <c r="AE20" s="76">
        <f t="shared" si="13"/>
        <v>28</v>
      </c>
      <c r="AF20" s="5">
        <v>20</v>
      </c>
      <c r="AG20" s="5">
        <v>0</v>
      </c>
      <c r="AH20" s="76">
        <f t="shared" si="14"/>
        <v>8</v>
      </c>
      <c r="AI20" s="5">
        <v>2</v>
      </c>
      <c r="AJ20" s="13">
        <f t="shared" si="15"/>
        <v>71.428571428571431</v>
      </c>
      <c r="AK20" s="1" t="s">
        <v>0</v>
      </c>
      <c r="AL20" s="12">
        <v>20</v>
      </c>
      <c r="AM20" s="12">
        <v>1</v>
      </c>
      <c r="AN20" s="5">
        <f t="shared" si="16"/>
        <v>21</v>
      </c>
      <c r="AO20" s="12">
        <v>19</v>
      </c>
      <c r="AP20" s="12">
        <v>0</v>
      </c>
      <c r="AQ20" s="5">
        <f t="shared" si="17"/>
        <v>2</v>
      </c>
      <c r="AR20" s="12">
        <v>1</v>
      </c>
      <c r="AS20" s="14">
        <f t="shared" si="18"/>
        <v>90.476190476190482</v>
      </c>
      <c r="AT20" t="s">
        <v>75</v>
      </c>
      <c r="AU20" s="7">
        <v>20</v>
      </c>
      <c r="AV20" s="7">
        <v>10</v>
      </c>
      <c r="AW20" s="5">
        <f t="shared" si="19"/>
        <v>30</v>
      </c>
      <c r="AX20" s="7">
        <v>17</v>
      </c>
      <c r="AY20" s="7">
        <v>0</v>
      </c>
      <c r="AZ20" s="5">
        <f t="shared" si="20"/>
        <v>13</v>
      </c>
      <c r="BA20" s="7">
        <v>3</v>
      </c>
      <c r="BB20" s="8">
        <f t="shared" si="21"/>
        <v>56.666666666666664</v>
      </c>
      <c r="BC20" s="1" t="s">
        <v>2</v>
      </c>
      <c r="BD20" s="3">
        <v>24</v>
      </c>
      <c r="BE20" s="3">
        <v>0</v>
      </c>
      <c r="BF20" s="5">
        <f t="shared" si="22"/>
        <v>24</v>
      </c>
      <c r="BG20" s="3">
        <v>0</v>
      </c>
      <c r="BH20" s="3">
        <v>0</v>
      </c>
      <c r="BI20" s="5">
        <f t="shared" si="23"/>
        <v>24</v>
      </c>
      <c r="BJ20" s="3">
        <v>0</v>
      </c>
      <c r="BK20" s="4">
        <f t="shared" si="24"/>
        <v>0</v>
      </c>
      <c r="BL20" s="1" t="s">
        <v>3</v>
      </c>
      <c r="BM20" s="7">
        <v>22</v>
      </c>
      <c r="BN20" s="7">
        <v>0</v>
      </c>
      <c r="BO20" s="5">
        <f t="shared" si="25"/>
        <v>22</v>
      </c>
      <c r="BP20" s="7">
        <v>2</v>
      </c>
      <c r="BQ20" s="7">
        <v>0</v>
      </c>
      <c r="BR20" s="5">
        <f t="shared" si="26"/>
        <v>20</v>
      </c>
      <c r="BS20" s="7">
        <v>0</v>
      </c>
      <c r="BT20" s="22">
        <f t="shared" si="27"/>
        <v>9.0909090909090917</v>
      </c>
      <c r="BU20" s="1" t="s">
        <v>2</v>
      </c>
      <c r="BV20" s="3">
        <v>38</v>
      </c>
      <c r="BW20" s="3">
        <v>0</v>
      </c>
      <c r="BX20" s="5">
        <f t="shared" si="28"/>
        <v>38</v>
      </c>
      <c r="BY20" s="3">
        <v>11</v>
      </c>
      <c r="BZ20" s="3">
        <v>0</v>
      </c>
      <c r="CA20" s="5">
        <f t="shared" si="29"/>
        <v>27</v>
      </c>
      <c r="CB20" s="3">
        <v>0</v>
      </c>
      <c r="CC20" s="4">
        <f t="shared" si="98"/>
        <v>28.947368421052634</v>
      </c>
      <c r="CD20" s="9" t="s">
        <v>3</v>
      </c>
      <c r="CE20" s="76">
        <v>21</v>
      </c>
      <c r="CF20" s="76">
        <v>10</v>
      </c>
      <c r="CG20" s="76">
        <f t="shared" si="31"/>
        <v>31</v>
      </c>
      <c r="CH20" s="76">
        <v>14</v>
      </c>
      <c r="CI20" s="76">
        <v>0</v>
      </c>
      <c r="CJ20" s="76">
        <f t="shared" si="32"/>
        <v>17</v>
      </c>
      <c r="CK20" s="76">
        <v>0</v>
      </c>
      <c r="CL20" s="23">
        <f t="shared" si="33"/>
        <v>45.161290322580641</v>
      </c>
      <c r="CM20" s="9" t="s">
        <v>0</v>
      </c>
      <c r="CN20" s="76">
        <v>27</v>
      </c>
      <c r="CO20" s="76">
        <v>1</v>
      </c>
      <c r="CP20" s="76">
        <f t="shared" si="34"/>
        <v>28</v>
      </c>
      <c r="CQ20" s="76">
        <v>24</v>
      </c>
      <c r="CR20" s="76">
        <v>0</v>
      </c>
      <c r="CS20" s="76">
        <f t="shared" si="35"/>
        <v>4</v>
      </c>
      <c r="CT20" s="76">
        <v>0</v>
      </c>
      <c r="CU20" s="9">
        <f t="shared" si="36"/>
        <v>85.714285714285708</v>
      </c>
      <c r="CV20" s="9" t="s">
        <v>3</v>
      </c>
      <c r="CW20" s="76">
        <v>35</v>
      </c>
      <c r="CX20" s="76">
        <v>21</v>
      </c>
      <c r="CY20" s="76">
        <f t="shared" si="37"/>
        <v>56</v>
      </c>
      <c r="CZ20" s="76">
        <v>28</v>
      </c>
      <c r="DA20" s="76">
        <v>0</v>
      </c>
      <c r="DB20" s="76">
        <f t="shared" si="38"/>
        <v>28</v>
      </c>
      <c r="DC20" s="76">
        <v>0</v>
      </c>
      <c r="DD20" s="23">
        <f t="shared" si="39"/>
        <v>50</v>
      </c>
      <c r="DE20" s="2" t="s">
        <v>1</v>
      </c>
      <c r="DF20" s="3">
        <v>16</v>
      </c>
      <c r="DG20" s="3">
        <v>0</v>
      </c>
      <c r="DH20" s="55">
        <f t="shared" si="40"/>
        <v>16</v>
      </c>
      <c r="DI20" s="3">
        <v>2</v>
      </c>
      <c r="DJ20" s="3">
        <v>0</v>
      </c>
      <c r="DK20" s="55">
        <f t="shared" si="41"/>
        <v>14</v>
      </c>
      <c r="DL20" s="3">
        <v>9</v>
      </c>
      <c r="DM20" s="4">
        <f t="shared" si="42"/>
        <v>12.5</v>
      </c>
      <c r="DN20" s="1" t="s">
        <v>3</v>
      </c>
      <c r="DO20">
        <v>15</v>
      </c>
      <c r="DP20">
        <v>0</v>
      </c>
      <c r="DQ20">
        <f t="shared" si="43"/>
        <v>15</v>
      </c>
      <c r="DR20">
        <v>1</v>
      </c>
      <c r="DS20">
        <v>0</v>
      </c>
      <c r="DT20">
        <f t="shared" si="44"/>
        <v>14</v>
      </c>
      <c r="DU20">
        <v>11</v>
      </c>
      <c r="DV20" s="11">
        <f t="shared" si="45"/>
        <v>6.666666666666667</v>
      </c>
      <c r="DW20" s="68" t="s">
        <v>189</v>
      </c>
      <c r="DX20" s="97">
        <v>16</v>
      </c>
      <c r="DY20" s="39">
        <v>0</v>
      </c>
      <c r="DZ20" s="55">
        <f t="shared" si="46"/>
        <v>16</v>
      </c>
      <c r="EA20" s="7">
        <v>6</v>
      </c>
      <c r="EB20" s="39">
        <v>0</v>
      </c>
      <c r="EC20" s="55">
        <f t="shared" si="47"/>
        <v>10</v>
      </c>
      <c r="ED20" s="7">
        <v>3</v>
      </c>
      <c r="EE20" s="83">
        <f t="shared" si="95"/>
        <v>37.5</v>
      </c>
      <c r="EF20" s="68" t="s">
        <v>3</v>
      </c>
      <c r="EG20" s="35">
        <v>27</v>
      </c>
      <c r="EH20" s="35">
        <v>1</v>
      </c>
      <c r="EI20" s="34">
        <f t="shared" si="49"/>
        <v>28</v>
      </c>
      <c r="EJ20" s="35">
        <v>21</v>
      </c>
      <c r="EK20" s="35">
        <v>1</v>
      </c>
      <c r="EL20" s="34">
        <f t="shared" si="50"/>
        <v>7</v>
      </c>
      <c r="EM20" s="35">
        <v>2</v>
      </c>
      <c r="EN20" s="37">
        <f t="shared" si="91"/>
        <v>75</v>
      </c>
      <c r="EO20" s="68" t="s">
        <v>3</v>
      </c>
      <c r="EP20" s="35">
        <v>7</v>
      </c>
      <c r="EQ20" s="35">
        <v>0</v>
      </c>
      <c r="ER20" s="34">
        <f t="shared" si="52"/>
        <v>7</v>
      </c>
      <c r="ES20" s="35">
        <v>6</v>
      </c>
      <c r="ET20" s="35">
        <v>0</v>
      </c>
      <c r="EU20" s="34">
        <f t="shared" si="53"/>
        <v>1</v>
      </c>
      <c r="EV20" s="35">
        <v>0</v>
      </c>
      <c r="EW20" s="38">
        <f t="shared" si="92"/>
        <v>85.714285714285708</v>
      </c>
      <c r="EX20" s="68" t="s">
        <v>3</v>
      </c>
      <c r="EY20" s="35">
        <v>15</v>
      </c>
      <c r="EZ20" s="35">
        <v>3</v>
      </c>
      <c r="FA20" s="56">
        <f t="shared" si="55"/>
        <v>18</v>
      </c>
      <c r="FB20" s="35">
        <v>14</v>
      </c>
      <c r="FC20" s="35">
        <v>0</v>
      </c>
      <c r="FD20" s="56">
        <f t="shared" si="56"/>
        <v>4</v>
      </c>
      <c r="FE20" s="35">
        <v>2</v>
      </c>
      <c r="FF20" s="37">
        <f t="shared" si="93"/>
        <v>77.777777777777786</v>
      </c>
      <c r="FG20" s="93" t="s">
        <v>183</v>
      </c>
      <c r="FH20" s="39">
        <v>33</v>
      </c>
      <c r="FI20" s="39">
        <v>0</v>
      </c>
      <c r="FJ20" s="7">
        <f t="shared" si="58"/>
        <v>33</v>
      </c>
      <c r="FK20" s="39">
        <v>0</v>
      </c>
      <c r="FL20" s="39">
        <v>0</v>
      </c>
      <c r="FM20" s="7">
        <f t="shared" si="59"/>
        <v>33</v>
      </c>
      <c r="FN20" s="39">
        <v>16</v>
      </c>
      <c r="FO20" s="37">
        <f t="shared" si="0"/>
        <v>0</v>
      </c>
      <c r="FP20" s="36" t="s">
        <v>75</v>
      </c>
      <c r="FQ20" s="79">
        <v>52</v>
      </c>
      <c r="FR20" s="39">
        <v>0</v>
      </c>
      <c r="FS20" s="39">
        <f t="shared" si="60"/>
        <v>52</v>
      </c>
      <c r="FT20" s="79">
        <v>21</v>
      </c>
      <c r="FU20" s="39">
        <v>0</v>
      </c>
      <c r="FV20" s="39">
        <f t="shared" si="61"/>
        <v>31</v>
      </c>
      <c r="FW20" s="79">
        <v>21</v>
      </c>
      <c r="FX20" s="37">
        <f t="shared" si="62"/>
        <v>40.384615384615387</v>
      </c>
      <c r="FY20" s="36" t="s">
        <v>75</v>
      </c>
      <c r="FZ20" s="64">
        <v>24</v>
      </c>
      <c r="GA20" s="39">
        <v>0</v>
      </c>
      <c r="GB20" s="90">
        <f t="shared" si="63"/>
        <v>24</v>
      </c>
      <c r="GC20" s="64">
        <v>1</v>
      </c>
      <c r="GD20" s="39">
        <v>0</v>
      </c>
      <c r="GE20" s="90">
        <f t="shared" si="64"/>
        <v>23</v>
      </c>
      <c r="GF20" s="64">
        <v>15</v>
      </c>
      <c r="GG20" s="37">
        <f t="shared" si="1"/>
        <v>4.1666666666666661</v>
      </c>
      <c r="GH20" s="36" t="s">
        <v>75</v>
      </c>
      <c r="GI20" s="39">
        <v>24</v>
      </c>
      <c r="GJ20" s="39">
        <v>20</v>
      </c>
      <c r="GK20" s="39">
        <f t="shared" si="65"/>
        <v>44</v>
      </c>
      <c r="GL20" s="39">
        <v>21</v>
      </c>
      <c r="GM20" s="39">
        <v>0</v>
      </c>
      <c r="GN20" s="39">
        <f t="shared" si="66"/>
        <v>23</v>
      </c>
      <c r="GO20" s="39">
        <v>3</v>
      </c>
      <c r="GP20" s="37">
        <f t="shared" si="67"/>
        <v>47.727272727272727</v>
      </c>
      <c r="GQ20" s="36" t="s">
        <v>75</v>
      </c>
      <c r="GR20" s="64">
        <v>48</v>
      </c>
      <c r="GS20" s="64">
        <v>9</v>
      </c>
      <c r="GT20" s="64">
        <f t="shared" si="68"/>
        <v>57</v>
      </c>
      <c r="GU20" s="64">
        <v>44</v>
      </c>
      <c r="GV20" s="64">
        <v>0</v>
      </c>
      <c r="GW20" s="64">
        <f t="shared" si="69"/>
        <v>13</v>
      </c>
      <c r="GX20" s="64">
        <v>6</v>
      </c>
      <c r="GY20" s="66">
        <f t="shared" si="70"/>
        <v>77.192982456140342</v>
      </c>
      <c r="GZ20" s="36" t="s">
        <v>75</v>
      </c>
      <c r="HA20" s="64">
        <v>14</v>
      </c>
      <c r="HB20" s="64">
        <v>3</v>
      </c>
      <c r="HC20" s="64">
        <f t="shared" si="71"/>
        <v>17</v>
      </c>
      <c r="HD20" s="64">
        <v>13</v>
      </c>
      <c r="HE20" s="64">
        <v>0</v>
      </c>
      <c r="HF20" s="64">
        <f t="shared" si="72"/>
        <v>4</v>
      </c>
      <c r="HG20" s="64">
        <v>3</v>
      </c>
      <c r="HH20" s="66">
        <f t="shared" si="2"/>
        <v>76.470588235294116</v>
      </c>
      <c r="HI20" s="5" t="s">
        <v>0</v>
      </c>
      <c r="HJ20" s="5">
        <v>30</v>
      </c>
      <c r="HK20" s="5">
        <v>0</v>
      </c>
      <c r="HL20" s="3">
        <f t="shared" si="73"/>
        <v>30</v>
      </c>
      <c r="HM20" s="5">
        <v>11</v>
      </c>
      <c r="HN20" s="5">
        <v>0</v>
      </c>
      <c r="HO20" s="3">
        <f t="shared" si="74"/>
        <v>19</v>
      </c>
      <c r="HP20" s="5">
        <v>12</v>
      </c>
      <c r="HQ20" s="23">
        <f t="shared" si="3"/>
        <v>36.666666666666664</v>
      </c>
      <c r="HR20" s="5" t="s">
        <v>0</v>
      </c>
      <c r="HS20" s="5">
        <v>36</v>
      </c>
      <c r="HT20" s="5">
        <v>0</v>
      </c>
      <c r="HU20" s="3">
        <f t="shared" si="75"/>
        <v>36</v>
      </c>
      <c r="HV20" s="5">
        <v>22</v>
      </c>
      <c r="HW20" s="5">
        <v>0</v>
      </c>
      <c r="HX20" s="3">
        <f t="shared" si="76"/>
        <v>14</v>
      </c>
      <c r="HY20" s="5">
        <v>17</v>
      </c>
      <c r="HZ20" s="23">
        <f t="shared" si="77"/>
        <v>61.111111111111114</v>
      </c>
      <c r="IA20" s="39" t="s">
        <v>75</v>
      </c>
      <c r="IB20" s="39">
        <v>20</v>
      </c>
      <c r="IC20" s="39">
        <v>0</v>
      </c>
      <c r="ID20" s="3">
        <f t="shared" si="78"/>
        <v>20</v>
      </c>
      <c r="IE20" s="39">
        <v>9</v>
      </c>
      <c r="IF20" s="39">
        <v>0</v>
      </c>
      <c r="IG20" s="3">
        <f t="shared" si="79"/>
        <v>11</v>
      </c>
      <c r="IH20" s="39">
        <v>13</v>
      </c>
      <c r="II20" s="40">
        <f t="shared" si="80"/>
        <v>45</v>
      </c>
      <c r="IJ20" s="65" t="s">
        <v>0</v>
      </c>
      <c r="IK20" s="5">
        <v>21</v>
      </c>
      <c r="IL20" s="5">
        <v>0</v>
      </c>
      <c r="IM20" s="3">
        <f t="shared" si="81"/>
        <v>21</v>
      </c>
      <c r="IN20" s="5">
        <v>19</v>
      </c>
      <c r="IO20" s="5">
        <v>0</v>
      </c>
      <c r="IP20" s="3">
        <f t="shared" si="82"/>
        <v>2</v>
      </c>
      <c r="IQ20" s="5">
        <v>0</v>
      </c>
      <c r="IR20" s="23">
        <f t="shared" si="83"/>
        <v>90.476190476190482</v>
      </c>
      <c r="IS20" s="65" t="s">
        <v>0</v>
      </c>
      <c r="IT20" s="5">
        <v>16</v>
      </c>
      <c r="IU20" s="5">
        <v>3</v>
      </c>
      <c r="IV20" s="3">
        <f t="shared" si="84"/>
        <v>19</v>
      </c>
      <c r="IW20" s="5">
        <v>11</v>
      </c>
      <c r="IX20" s="5">
        <v>0</v>
      </c>
      <c r="IY20" s="3">
        <f t="shared" si="85"/>
        <v>8</v>
      </c>
      <c r="IZ20" s="5">
        <v>2</v>
      </c>
      <c r="JA20" s="23">
        <f t="shared" si="86"/>
        <v>57.894736842105267</v>
      </c>
      <c r="JB20" s="39" t="s">
        <v>75</v>
      </c>
      <c r="JC20" s="39">
        <v>25</v>
      </c>
      <c r="JD20" s="39">
        <v>2</v>
      </c>
      <c r="JE20" s="5">
        <f t="shared" si="87"/>
        <v>27</v>
      </c>
      <c r="JF20" s="39">
        <v>18</v>
      </c>
      <c r="JG20" s="39">
        <v>1</v>
      </c>
      <c r="JH20" s="5">
        <f t="shared" si="88"/>
        <v>9</v>
      </c>
      <c r="JI20" s="39">
        <v>4</v>
      </c>
      <c r="JJ20" s="40">
        <f t="shared" si="89"/>
        <v>66.666666666666657</v>
      </c>
    </row>
    <row r="21" spans="1:270" x14ac:dyDescent="0.2">
      <c r="A21" s="1" t="s">
        <v>2</v>
      </c>
      <c r="B21" s="71">
        <v>30</v>
      </c>
      <c r="C21" s="72">
        <v>0</v>
      </c>
      <c r="D21" s="72">
        <f t="shared" si="4"/>
        <v>30</v>
      </c>
      <c r="E21" s="72">
        <v>10</v>
      </c>
      <c r="F21" s="72">
        <v>0</v>
      </c>
      <c r="G21" s="72">
        <f t="shared" si="5"/>
        <v>20</v>
      </c>
      <c r="H21" s="72">
        <v>10</v>
      </c>
      <c r="I21" s="27">
        <f t="shared" si="97"/>
        <v>33.333333333333329</v>
      </c>
      <c r="J21" s="1" t="s">
        <v>0</v>
      </c>
      <c r="K21" s="5">
        <v>31</v>
      </c>
      <c r="L21" s="5">
        <v>0</v>
      </c>
      <c r="M21" s="10">
        <f t="shared" si="7"/>
        <v>31</v>
      </c>
      <c r="N21" s="5">
        <v>10</v>
      </c>
      <c r="O21" s="5">
        <v>0</v>
      </c>
      <c r="P21" s="74">
        <f t="shared" si="8"/>
        <v>21</v>
      </c>
      <c r="Q21" s="76">
        <v>5</v>
      </c>
      <c r="R21" s="9">
        <f t="shared" si="94"/>
        <v>32.258064516129032</v>
      </c>
      <c r="S21" s="1" t="s">
        <v>0</v>
      </c>
      <c r="T21" s="5">
        <v>29</v>
      </c>
      <c r="U21" s="5">
        <v>0</v>
      </c>
      <c r="V21" s="10">
        <f t="shared" si="10"/>
        <v>29</v>
      </c>
      <c r="W21" s="5">
        <v>8</v>
      </c>
      <c r="X21" s="5">
        <v>0</v>
      </c>
      <c r="Y21" s="74">
        <f t="shared" si="11"/>
        <v>21</v>
      </c>
      <c r="Z21" s="5">
        <v>1</v>
      </c>
      <c r="AA21" s="9">
        <f t="shared" si="96"/>
        <v>27.586206896551722</v>
      </c>
      <c r="AB21" s="1" t="s">
        <v>0</v>
      </c>
      <c r="AC21" s="5">
        <v>16</v>
      </c>
      <c r="AD21" s="5">
        <v>2</v>
      </c>
      <c r="AE21" s="76">
        <f t="shared" si="13"/>
        <v>18</v>
      </c>
      <c r="AF21" s="5">
        <v>16</v>
      </c>
      <c r="AG21" s="5">
        <v>0</v>
      </c>
      <c r="AH21" s="76">
        <f t="shared" si="14"/>
        <v>2</v>
      </c>
      <c r="AI21" s="5">
        <v>1</v>
      </c>
      <c r="AJ21" s="13">
        <f t="shared" si="15"/>
        <v>88.888888888888886</v>
      </c>
      <c r="AK21" s="1" t="s">
        <v>0</v>
      </c>
      <c r="AL21" s="12">
        <v>21</v>
      </c>
      <c r="AM21" s="12">
        <v>7</v>
      </c>
      <c r="AN21" s="5">
        <f t="shared" si="16"/>
        <v>28</v>
      </c>
      <c r="AO21" s="12">
        <v>14</v>
      </c>
      <c r="AP21" s="12">
        <v>0</v>
      </c>
      <c r="AQ21" s="5">
        <f t="shared" si="17"/>
        <v>14</v>
      </c>
      <c r="AR21" s="12">
        <v>1</v>
      </c>
      <c r="AS21" s="14">
        <f t="shared" si="18"/>
        <v>50</v>
      </c>
      <c r="AT21" t="s">
        <v>75</v>
      </c>
      <c r="AU21" s="7">
        <v>22</v>
      </c>
      <c r="AV21" s="7">
        <v>8</v>
      </c>
      <c r="AW21" s="5">
        <f t="shared" si="19"/>
        <v>30</v>
      </c>
      <c r="AX21" s="7">
        <v>16</v>
      </c>
      <c r="AY21" s="7">
        <v>0</v>
      </c>
      <c r="AZ21" s="5">
        <f t="shared" si="20"/>
        <v>14</v>
      </c>
      <c r="BA21" s="7">
        <v>4</v>
      </c>
      <c r="BB21" s="8">
        <f t="shared" si="21"/>
        <v>53.333333333333336</v>
      </c>
      <c r="BC21" s="1" t="s">
        <v>2</v>
      </c>
      <c r="BD21" s="3">
        <v>34</v>
      </c>
      <c r="BE21" s="3">
        <v>0</v>
      </c>
      <c r="BF21" s="5">
        <f t="shared" si="22"/>
        <v>34</v>
      </c>
      <c r="BG21" s="3">
        <v>3</v>
      </c>
      <c r="BH21" s="3">
        <v>0</v>
      </c>
      <c r="BI21" s="5">
        <f t="shared" si="23"/>
        <v>31</v>
      </c>
      <c r="BJ21" s="3">
        <v>1</v>
      </c>
      <c r="BK21" s="4">
        <f t="shared" si="24"/>
        <v>8.8235294117647065</v>
      </c>
      <c r="BL21" s="1" t="s">
        <v>3</v>
      </c>
      <c r="BM21" s="7">
        <v>25</v>
      </c>
      <c r="BN21" s="7">
        <v>0</v>
      </c>
      <c r="BO21" s="5">
        <f t="shared" si="25"/>
        <v>25</v>
      </c>
      <c r="BP21" s="7">
        <v>0</v>
      </c>
      <c r="BQ21" s="7">
        <v>0</v>
      </c>
      <c r="BR21" s="5">
        <f t="shared" si="26"/>
        <v>25</v>
      </c>
      <c r="BS21" s="7">
        <v>0</v>
      </c>
      <c r="BT21" s="22">
        <f t="shared" si="27"/>
        <v>0</v>
      </c>
      <c r="BU21" t="s">
        <v>75</v>
      </c>
      <c r="BV21" s="41">
        <v>43</v>
      </c>
      <c r="BW21" s="41">
        <v>0</v>
      </c>
      <c r="BX21" s="5">
        <f t="shared" si="28"/>
        <v>43</v>
      </c>
      <c r="BY21" s="41">
        <v>29</v>
      </c>
      <c r="BZ21" s="41">
        <v>0</v>
      </c>
      <c r="CA21" s="5">
        <f t="shared" si="29"/>
        <v>14</v>
      </c>
      <c r="CB21" s="41">
        <v>0</v>
      </c>
      <c r="CC21" s="42">
        <f t="shared" si="98"/>
        <v>67.441860465116278</v>
      </c>
      <c r="CD21" s="9" t="s">
        <v>3</v>
      </c>
      <c r="CE21" s="76">
        <v>26</v>
      </c>
      <c r="CF21" s="76">
        <v>4</v>
      </c>
      <c r="CG21" s="76">
        <f t="shared" si="31"/>
        <v>30</v>
      </c>
      <c r="CH21" s="76">
        <v>21</v>
      </c>
      <c r="CI21" s="76">
        <v>0</v>
      </c>
      <c r="CJ21" s="76">
        <f t="shared" si="32"/>
        <v>9</v>
      </c>
      <c r="CK21" s="76">
        <v>0</v>
      </c>
      <c r="CL21" s="23">
        <f t="shared" si="33"/>
        <v>70</v>
      </c>
      <c r="CM21" s="9" t="s">
        <v>0</v>
      </c>
      <c r="CN21" s="76">
        <v>34</v>
      </c>
      <c r="CO21" s="76">
        <v>0</v>
      </c>
      <c r="CP21" s="76">
        <f t="shared" si="34"/>
        <v>34</v>
      </c>
      <c r="CQ21" s="76">
        <v>29</v>
      </c>
      <c r="CR21" s="76">
        <v>0</v>
      </c>
      <c r="CS21" s="76">
        <f t="shared" si="35"/>
        <v>5</v>
      </c>
      <c r="CT21" s="76">
        <v>3</v>
      </c>
      <c r="CU21" s="9">
        <f t="shared" si="36"/>
        <v>85.294117647058826</v>
      </c>
      <c r="CV21" s="9" t="s">
        <v>3</v>
      </c>
      <c r="CW21" s="76">
        <v>49</v>
      </c>
      <c r="CX21" s="76">
        <v>24</v>
      </c>
      <c r="CY21" s="76">
        <f t="shared" si="37"/>
        <v>73</v>
      </c>
      <c r="CZ21" s="76">
        <v>35</v>
      </c>
      <c r="DA21" s="76">
        <v>0</v>
      </c>
      <c r="DB21" s="76">
        <f t="shared" si="38"/>
        <v>38</v>
      </c>
      <c r="DC21" s="76">
        <v>0</v>
      </c>
      <c r="DD21" s="23">
        <f t="shared" si="39"/>
        <v>47.945205479452049</v>
      </c>
      <c r="DE21" s="2" t="s">
        <v>1</v>
      </c>
      <c r="DF21" s="3">
        <v>23</v>
      </c>
      <c r="DG21" s="3">
        <v>0</v>
      </c>
      <c r="DH21" s="55">
        <f t="shared" si="40"/>
        <v>23</v>
      </c>
      <c r="DI21" s="3">
        <v>5</v>
      </c>
      <c r="DJ21" s="3">
        <v>0</v>
      </c>
      <c r="DK21" s="55">
        <f t="shared" si="41"/>
        <v>18</v>
      </c>
      <c r="DL21" s="3">
        <v>11</v>
      </c>
      <c r="DM21" s="4">
        <f t="shared" si="42"/>
        <v>21.739130434782609</v>
      </c>
      <c r="DN21" s="1" t="s">
        <v>3</v>
      </c>
      <c r="DO21">
        <v>24</v>
      </c>
      <c r="DP21">
        <v>0</v>
      </c>
      <c r="DQ21">
        <f t="shared" si="43"/>
        <v>24</v>
      </c>
      <c r="DR21">
        <v>3</v>
      </c>
      <c r="DS21">
        <v>0</v>
      </c>
      <c r="DT21">
        <f t="shared" si="44"/>
        <v>21</v>
      </c>
      <c r="DU21">
        <v>15</v>
      </c>
      <c r="DV21" s="11">
        <f t="shared" si="45"/>
        <v>12.5</v>
      </c>
      <c r="DW21" s="68" t="s">
        <v>189</v>
      </c>
      <c r="DX21" s="97">
        <v>16</v>
      </c>
      <c r="DY21" s="39">
        <v>0</v>
      </c>
      <c r="DZ21" s="55">
        <f t="shared" si="46"/>
        <v>16</v>
      </c>
      <c r="EA21" s="7">
        <v>8</v>
      </c>
      <c r="EB21" s="39">
        <v>0</v>
      </c>
      <c r="EC21" s="55">
        <f t="shared" si="47"/>
        <v>8</v>
      </c>
      <c r="ED21" s="7">
        <v>4</v>
      </c>
      <c r="EE21" s="83">
        <f t="shared" si="95"/>
        <v>50</v>
      </c>
      <c r="EF21" s="68" t="s">
        <v>3</v>
      </c>
      <c r="EG21" s="35">
        <v>21</v>
      </c>
      <c r="EH21" s="35">
        <v>1</v>
      </c>
      <c r="EI21" s="34">
        <f t="shared" si="49"/>
        <v>22</v>
      </c>
      <c r="EJ21" s="35">
        <v>16</v>
      </c>
      <c r="EK21" s="35">
        <v>0</v>
      </c>
      <c r="EL21" s="34">
        <f t="shared" si="50"/>
        <v>6</v>
      </c>
      <c r="EM21" s="35">
        <v>2</v>
      </c>
      <c r="EN21" s="37">
        <f t="shared" si="91"/>
        <v>72.727272727272734</v>
      </c>
      <c r="EO21" s="68" t="s">
        <v>3</v>
      </c>
      <c r="EP21" s="35">
        <v>11</v>
      </c>
      <c r="EQ21" s="35">
        <v>1</v>
      </c>
      <c r="ER21" s="34">
        <f t="shared" si="52"/>
        <v>12</v>
      </c>
      <c r="ES21" s="35">
        <v>10</v>
      </c>
      <c r="ET21" s="35">
        <v>0</v>
      </c>
      <c r="EU21" s="34">
        <f t="shared" si="53"/>
        <v>2</v>
      </c>
      <c r="EV21" s="35">
        <v>0</v>
      </c>
      <c r="EW21" s="38">
        <f t="shared" si="92"/>
        <v>83.333333333333343</v>
      </c>
      <c r="EX21" s="68" t="s">
        <v>3</v>
      </c>
      <c r="EY21" s="35">
        <v>12</v>
      </c>
      <c r="EZ21" s="35">
        <v>2</v>
      </c>
      <c r="FA21" s="56">
        <f t="shared" si="55"/>
        <v>14</v>
      </c>
      <c r="FB21" s="35">
        <v>7</v>
      </c>
      <c r="FC21" s="35">
        <v>0</v>
      </c>
      <c r="FD21" s="56">
        <f t="shared" si="56"/>
        <v>7</v>
      </c>
      <c r="FE21" s="35">
        <v>0</v>
      </c>
      <c r="FF21" s="37">
        <f t="shared" si="93"/>
        <v>50</v>
      </c>
      <c r="FG21" s="93" t="s">
        <v>184</v>
      </c>
      <c r="FH21" s="39">
        <v>46</v>
      </c>
      <c r="FI21" s="39">
        <v>0</v>
      </c>
      <c r="FJ21" s="7">
        <f t="shared" si="58"/>
        <v>46</v>
      </c>
      <c r="FK21" s="39">
        <v>0</v>
      </c>
      <c r="FL21" s="39">
        <v>0</v>
      </c>
      <c r="FM21" s="7">
        <f t="shared" si="59"/>
        <v>46</v>
      </c>
      <c r="FN21" s="39">
        <v>17</v>
      </c>
      <c r="FO21" s="37">
        <f t="shared" si="0"/>
        <v>0</v>
      </c>
      <c r="FP21" s="36" t="s">
        <v>75</v>
      </c>
      <c r="FQ21" s="79">
        <v>49</v>
      </c>
      <c r="FR21" s="39">
        <v>0</v>
      </c>
      <c r="FS21" s="39">
        <f t="shared" si="60"/>
        <v>49</v>
      </c>
      <c r="FT21" s="79">
        <v>28</v>
      </c>
      <c r="FU21" s="39">
        <v>0</v>
      </c>
      <c r="FV21" s="39">
        <f t="shared" si="61"/>
        <v>21</v>
      </c>
      <c r="FW21" s="79">
        <v>18</v>
      </c>
      <c r="FX21" s="37">
        <f t="shared" si="62"/>
        <v>57.142857142857139</v>
      </c>
      <c r="FY21" s="5" t="s">
        <v>178</v>
      </c>
      <c r="FZ21" s="5">
        <v>24</v>
      </c>
      <c r="GA21" s="5">
        <v>0</v>
      </c>
      <c r="GB21" s="90">
        <f t="shared" si="63"/>
        <v>24</v>
      </c>
      <c r="GC21" s="5">
        <v>4</v>
      </c>
      <c r="GD21" s="5">
        <v>0</v>
      </c>
      <c r="GE21" s="90">
        <f t="shared" si="64"/>
        <v>20</v>
      </c>
      <c r="GF21" s="5">
        <v>19</v>
      </c>
      <c r="GG21" s="9">
        <f t="shared" si="1"/>
        <v>16.666666666666664</v>
      </c>
      <c r="GH21" s="36" t="s">
        <v>75</v>
      </c>
      <c r="GI21" s="39">
        <v>39</v>
      </c>
      <c r="GJ21" s="39">
        <v>11</v>
      </c>
      <c r="GK21" s="39">
        <f t="shared" si="65"/>
        <v>50</v>
      </c>
      <c r="GL21" s="39">
        <v>32</v>
      </c>
      <c r="GM21" s="39">
        <v>0</v>
      </c>
      <c r="GN21" s="39">
        <f t="shared" si="66"/>
        <v>18</v>
      </c>
      <c r="GO21" s="39">
        <v>3</v>
      </c>
      <c r="GP21" s="37">
        <f t="shared" si="67"/>
        <v>64</v>
      </c>
      <c r="GQ21" s="36" t="s">
        <v>75</v>
      </c>
      <c r="GR21" s="64">
        <v>52</v>
      </c>
      <c r="GS21" s="64">
        <v>6</v>
      </c>
      <c r="GT21" s="64">
        <f t="shared" si="68"/>
        <v>58</v>
      </c>
      <c r="GU21" s="64">
        <v>49</v>
      </c>
      <c r="GV21" s="64">
        <v>0</v>
      </c>
      <c r="GW21" s="64">
        <f t="shared" si="69"/>
        <v>9</v>
      </c>
      <c r="GX21" s="64">
        <v>7</v>
      </c>
      <c r="GY21" s="66">
        <f t="shared" si="70"/>
        <v>84.482758620689651</v>
      </c>
      <c r="GZ21" s="88" t="s">
        <v>179</v>
      </c>
      <c r="HA21" s="94">
        <v>37</v>
      </c>
      <c r="HB21" s="94">
        <v>2</v>
      </c>
      <c r="HC21" s="64">
        <f t="shared" si="71"/>
        <v>39</v>
      </c>
      <c r="HD21" s="94">
        <v>36</v>
      </c>
      <c r="HE21" s="94">
        <v>0</v>
      </c>
      <c r="HF21" s="64">
        <f t="shared" si="72"/>
        <v>3</v>
      </c>
      <c r="HG21" s="94">
        <v>0</v>
      </c>
      <c r="HH21" s="95">
        <f t="shared" si="2"/>
        <v>92.307692307692307</v>
      </c>
      <c r="HI21" s="5" t="s">
        <v>0</v>
      </c>
      <c r="HJ21" s="5">
        <v>27</v>
      </c>
      <c r="HK21" s="5">
        <v>0</v>
      </c>
      <c r="HL21" s="3">
        <f t="shared" si="73"/>
        <v>27</v>
      </c>
      <c r="HM21" s="5">
        <v>7</v>
      </c>
      <c r="HN21" s="5">
        <v>0</v>
      </c>
      <c r="HO21" s="3">
        <f t="shared" si="74"/>
        <v>20</v>
      </c>
      <c r="HP21" s="5">
        <v>13</v>
      </c>
      <c r="HQ21" s="23">
        <f t="shared" si="3"/>
        <v>25.925925925925924</v>
      </c>
      <c r="HR21" s="5" t="s">
        <v>0</v>
      </c>
      <c r="HS21" s="5">
        <v>30</v>
      </c>
      <c r="HT21" s="5">
        <v>0</v>
      </c>
      <c r="HU21" s="3">
        <f t="shared" si="75"/>
        <v>30</v>
      </c>
      <c r="HV21" s="5">
        <v>16</v>
      </c>
      <c r="HW21" s="5">
        <v>0</v>
      </c>
      <c r="HX21" s="3">
        <f t="shared" si="76"/>
        <v>14</v>
      </c>
      <c r="HY21" s="5">
        <v>15</v>
      </c>
      <c r="HZ21" s="23">
        <f t="shared" si="77"/>
        <v>53.333333333333336</v>
      </c>
      <c r="IA21" s="39" t="s">
        <v>75</v>
      </c>
      <c r="IB21" s="39">
        <v>25</v>
      </c>
      <c r="IC21" s="39">
        <v>0</v>
      </c>
      <c r="ID21" s="3">
        <f t="shared" si="78"/>
        <v>25</v>
      </c>
      <c r="IE21" s="39">
        <v>8</v>
      </c>
      <c r="IF21" s="39">
        <v>0</v>
      </c>
      <c r="IG21" s="3">
        <f t="shared" si="79"/>
        <v>17</v>
      </c>
      <c r="IH21" s="39">
        <v>13</v>
      </c>
      <c r="II21" s="40">
        <f t="shared" si="80"/>
        <v>32</v>
      </c>
      <c r="IJ21" s="65" t="s">
        <v>0</v>
      </c>
      <c r="IK21" s="5">
        <v>25</v>
      </c>
      <c r="IL21" s="5">
        <v>6</v>
      </c>
      <c r="IM21" s="3">
        <f t="shared" si="81"/>
        <v>31</v>
      </c>
      <c r="IN21" s="5">
        <v>24</v>
      </c>
      <c r="IO21" s="5">
        <v>0</v>
      </c>
      <c r="IP21" s="3">
        <f t="shared" si="82"/>
        <v>7</v>
      </c>
      <c r="IQ21" s="5">
        <v>2</v>
      </c>
      <c r="IR21" s="23">
        <f t="shared" si="83"/>
        <v>77.41935483870968</v>
      </c>
      <c r="IS21" s="65" t="s">
        <v>0</v>
      </c>
      <c r="IT21" s="5">
        <v>32</v>
      </c>
      <c r="IU21" s="5">
        <v>1</v>
      </c>
      <c r="IV21" s="3">
        <f t="shared" si="84"/>
        <v>33</v>
      </c>
      <c r="IW21" s="5">
        <v>22</v>
      </c>
      <c r="IX21" s="5">
        <v>0</v>
      </c>
      <c r="IY21" s="3">
        <f t="shared" si="85"/>
        <v>11</v>
      </c>
      <c r="IZ21" s="5">
        <v>1</v>
      </c>
      <c r="JA21" s="23">
        <f t="shared" si="86"/>
        <v>66.666666666666657</v>
      </c>
      <c r="JB21" s="39" t="s">
        <v>75</v>
      </c>
      <c r="JC21" s="39">
        <v>27</v>
      </c>
      <c r="JD21" s="39">
        <v>1</v>
      </c>
      <c r="JE21" s="5">
        <f t="shared" si="87"/>
        <v>28</v>
      </c>
      <c r="JF21" s="39">
        <v>14</v>
      </c>
      <c r="JG21" s="39">
        <v>0</v>
      </c>
      <c r="JH21" s="5">
        <f t="shared" si="88"/>
        <v>14</v>
      </c>
      <c r="JI21" s="39">
        <v>4</v>
      </c>
      <c r="JJ21" s="40">
        <f t="shared" si="89"/>
        <v>50</v>
      </c>
    </row>
    <row r="22" spans="1:270" x14ac:dyDescent="0.2">
      <c r="A22" s="1" t="s">
        <v>0</v>
      </c>
      <c r="B22" s="75">
        <v>30</v>
      </c>
      <c r="C22" s="76">
        <v>0</v>
      </c>
      <c r="D22" s="72">
        <f t="shared" si="4"/>
        <v>30</v>
      </c>
      <c r="E22" s="76">
        <v>15</v>
      </c>
      <c r="F22" s="76">
        <v>0</v>
      </c>
      <c r="G22" s="72">
        <f t="shared" si="5"/>
        <v>15</v>
      </c>
      <c r="H22" s="76">
        <v>6</v>
      </c>
      <c r="I22" s="13">
        <f t="shared" si="97"/>
        <v>50</v>
      </c>
      <c r="J22" s="1" t="s">
        <v>0</v>
      </c>
      <c r="K22" s="5">
        <v>31</v>
      </c>
      <c r="L22" s="5">
        <v>0</v>
      </c>
      <c r="M22" s="10">
        <f t="shared" si="7"/>
        <v>31</v>
      </c>
      <c r="N22" s="5">
        <v>10</v>
      </c>
      <c r="O22" s="5">
        <v>0</v>
      </c>
      <c r="P22" s="74">
        <f t="shared" si="8"/>
        <v>21</v>
      </c>
      <c r="Q22" s="76">
        <v>2</v>
      </c>
      <c r="R22" s="9">
        <f t="shared" si="94"/>
        <v>32.258064516129032</v>
      </c>
      <c r="S22" s="1" t="s">
        <v>0</v>
      </c>
      <c r="T22" s="5">
        <v>33</v>
      </c>
      <c r="U22" s="5">
        <v>0</v>
      </c>
      <c r="V22" s="10">
        <f t="shared" si="10"/>
        <v>33</v>
      </c>
      <c r="W22" s="5">
        <v>9</v>
      </c>
      <c r="X22" s="5">
        <v>0</v>
      </c>
      <c r="Y22" s="74">
        <f t="shared" si="11"/>
        <v>24</v>
      </c>
      <c r="Z22" s="5">
        <v>5</v>
      </c>
      <c r="AA22" s="9">
        <f t="shared" si="96"/>
        <v>27.27272727272727</v>
      </c>
      <c r="AB22" t="s">
        <v>75</v>
      </c>
      <c r="AC22" s="7">
        <v>27</v>
      </c>
      <c r="AD22" s="7">
        <v>14</v>
      </c>
      <c r="AE22" s="76">
        <f t="shared" si="13"/>
        <v>41</v>
      </c>
      <c r="AF22" s="7">
        <v>23</v>
      </c>
      <c r="AG22" s="7">
        <v>0</v>
      </c>
      <c r="AH22" s="76">
        <f t="shared" si="14"/>
        <v>18</v>
      </c>
      <c r="AI22" s="7">
        <v>5</v>
      </c>
      <c r="AJ22" s="48">
        <f t="shared" si="15"/>
        <v>56.09756097560976</v>
      </c>
      <c r="AK22" t="s">
        <v>75</v>
      </c>
      <c r="AL22" s="7">
        <v>15</v>
      </c>
      <c r="AM22" s="7">
        <v>5</v>
      </c>
      <c r="AN22" s="5">
        <f t="shared" si="16"/>
        <v>20</v>
      </c>
      <c r="AO22" s="7">
        <v>14</v>
      </c>
      <c r="AP22" s="7">
        <v>0</v>
      </c>
      <c r="AQ22" s="5">
        <f t="shared" si="17"/>
        <v>6</v>
      </c>
      <c r="AR22" s="7">
        <v>2</v>
      </c>
      <c r="AS22" s="8">
        <f t="shared" si="18"/>
        <v>70</v>
      </c>
      <c r="AT22" s="112" t="s">
        <v>199</v>
      </c>
      <c r="AU22" s="122">
        <v>22</v>
      </c>
      <c r="AV22" s="122">
        <v>4</v>
      </c>
      <c r="AW22" s="5">
        <f t="shared" si="19"/>
        <v>26</v>
      </c>
      <c r="AX22" s="122">
        <v>16</v>
      </c>
      <c r="AY22" s="122">
        <v>0</v>
      </c>
      <c r="AZ22" s="5">
        <f t="shared" si="20"/>
        <v>10</v>
      </c>
      <c r="BA22" s="122">
        <v>3</v>
      </c>
      <c r="BB22" s="128">
        <f t="shared" ref="BB22:BB35" si="99">(AX22/(AU22+AV22)*100)</f>
        <v>61.53846153846154</v>
      </c>
      <c r="BC22" s="1" t="s">
        <v>75</v>
      </c>
      <c r="BD22" s="41">
        <v>61</v>
      </c>
      <c r="BE22" s="41">
        <v>0</v>
      </c>
      <c r="BF22" s="5">
        <f t="shared" si="22"/>
        <v>61</v>
      </c>
      <c r="BG22" s="41">
        <v>2</v>
      </c>
      <c r="BH22" s="41">
        <v>0</v>
      </c>
      <c r="BI22" s="5">
        <f t="shared" si="23"/>
        <v>59</v>
      </c>
      <c r="BJ22" s="41">
        <v>2</v>
      </c>
      <c r="BK22" s="42">
        <f t="shared" si="24"/>
        <v>3.278688524590164</v>
      </c>
      <c r="BL22" t="s">
        <v>75</v>
      </c>
      <c r="BM22" s="41">
        <v>40</v>
      </c>
      <c r="BN22" s="41">
        <v>0</v>
      </c>
      <c r="BO22" s="5">
        <f t="shared" si="25"/>
        <v>40</v>
      </c>
      <c r="BP22" s="41">
        <v>2</v>
      </c>
      <c r="BQ22" s="41">
        <v>0</v>
      </c>
      <c r="BR22" s="5">
        <f t="shared" si="26"/>
        <v>38</v>
      </c>
      <c r="BS22" s="41">
        <v>0</v>
      </c>
      <c r="BT22" s="45">
        <f t="shared" si="27"/>
        <v>5</v>
      </c>
      <c r="BU22" t="s">
        <v>75</v>
      </c>
      <c r="BV22" s="41">
        <v>24</v>
      </c>
      <c r="BW22" s="41">
        <v>0</v>
      </c>
      <c r="BX22" s="5">
        <f t="shared" si="28"/>
        <v>24</v>
      </c>
      <c r="BY22" s="41">
        <v>4</v>
      </c>
      <c r="BZ22" s="41">
        <v>0</v>
      </c>
      <c r="CA22" s="5">
        <f t="shared" si="29"/>
        <v>20</v>
      </c>
      <c r="CB22" s="41">
        <v>1</v>
      </c>
      <c r="CC22" s="42">
        <f t="shared" si="98"/>
        <v>16.666666666666664</v>
      </c>
      <c r="CD22" s="11" t="s">
        <v>75</v>
      </c>
      <c r="CE22" s="50">
        <v>34</v>
      </c>
      <c r="CF22" s="50">
        <v>12</v>
      </c>
      <c r="CG22" s="76">
        <f t="shared" si="31"/>
        <v>46</v>
      </c>
      <c r="CH22" s="50">
        <v>24</v>
      </c>
      <c r="CI22" s="50">
        <v>0</v>
      </c>
      <c r="CJ22" s="76">
        <f t="shared" si="32"/>
        <v>22</v>
      </c>
      <c r="CK22" s="50">
        <v>0</v>
      </c>
      <c r="CL22" s="43">
        <f t="shared" si="33"/>
        <v>52.173913043478258</v>
      </c>
      <c r="CM22" s="11" t="s">
        <v>75</v>
      </c>
      <c r="CN22" s="50">
        <v>62</v>
      </c>
      <c r="CO22" s="50">
        <v>1</v>
      </c>
      <c r="CP22" s="76">
        <f t="shared" si="34"/>
        <v>63</v>
      </c>
      <c r="CQ22" s="50">
        <v>62</v>
      </c>
      <c r="CR22" s="50">
        <v>0</v>
      </c>
      <c r="CS22" s="76">
        <f t="shared" si="35"/>
        <v>1</v>
      </c>
      <c r="CT22" s="50">
        <v>0</v>
      </c>
      <c r="CU22" s="42">
        <f t="shared" si="36"/>
        <v>98.412698412698404</v>
      </c>
      <c r="CV22" s="11" t="s">
        <v>75</v>
      </c>
      <c r="CW22" s="50">
        <v>50</v>
      </c>
      <c r="CX22" s="50">
        <v>22</v>
      </c>
      <c r="CY22" s="76">
        <f t="shared" si="37"/>
        <v>72</v>
      </c>
      <c r="CZ22" s="50">
        <v>36</v>
      </c>
      <c r="DA22" s="50">
        <v>0</v>
      </c>
      <c r="DB22" s="76">
        <f t="shared" si="38"/>
        <v>36</v>
      </c>
      <c r="DC22" s="50">
        <v>0</v>
      </c>
      <c r="DD22" s="43">
        <f t="shared" si="39"/>
        <v>50</v>
      </c>
      <c r="DE22" s="2" t="s">
        <v>1</v>
      </c>
      <c r="DF22" s="3">
        <v>37</v>
      </c>
      <c r="DG22" s="3">
        <v>0</v>
      </c>
      <c r="DH22" s="55">
        <f t="shared" si="40"/>
        <v>37</v>
      </c>
      <c r="DI22" s="3">
        <v>6</v>
      </c>
      <c r="DJ22" s="3">
        <v>0</v>
      </c>
      <c r="DK22" s="55">
        <f t="shared" si="41"/>
        <v>31</v>
      </c>
      <c r="DL22" s="3">
        <v>22</v>
      </c>
      <c r="DM22" s="4">
        <f t="shared" si="42"/>
        <v>16.216216216216218</v>
      </c>
      <c r="DN22" t="s">
        <v>75</v>
      </c>
      <c r="DO22">
        <v>18</v>
      </c>
      <c r="DP22">
        <v>0</v>
      </c>
      <c r="DQ22">
        <f t="shared" si="43"/>
        <v>18</v>
      </c>
      <c r="DR22">
        <v>4</v>
      </c>
      <c r="DS22">
        <v>0</v>
      </c>
      <c r="DT22">
        <f t="shared" si="44"/>
        <v>14</v>
      </c>
      <c r="DU22">
        <v>13</v>
      </c>
      <c r="DV22" s="11">
        <f t="shared" si="45"/>
        <v>22.222222222222221</v>
      </c>
      <c r="DW22" s="68" t="s">
        <v>189</v>
      </c>
      <c r="DX22" s="97">
        <v>9</v>
      </c>
      <c r="DY22" s="39">
        <v>0</v>
      </c>
      <c r="DZ22" s="55">
        <f t="shared" si="46"/>
        <v>9</v>
      </c>
      <c r="EA22" s="7">
        <v>3</v>
      </c>
      <c r="EB22" s="39">
        <v>0</v>
      </c>
      <c r="EC22" s="55">
        <f t="shared" si="47"/>
        <v>6</v>
      </c>
      <c r="ED22" s="7">
        <v>1</v>
      </c>
      <c r="EE22" s="83">
        <f t="shared" si="95"/>
        <v>33.333333333333329</v>
      </c>
      <c r="EF22" s="44" t="s">
        <v>75</v>
      </c>
      <c r="EG22" s="50">
        <v>12</v>
      </c>
      <c r="EH22" s="50">
        <v>3</v>
      </c>
      <c r="EI22" s="34">
        <f t="shared" si="49"/>
        <v>15</v>
      </c>
      <c r="EJ22" s="50">
        <v>10</v>
      </c>
      <c r="EK22" s="50">
        <v>1</v>
      </c>
      <c r="EL22" s="34">
        <f t="shared" si="50"/>
        <v>5</v>
      </c>
      <c r="EM22" s="50">
        <v>0</v>
      </c>
      <c r="EN22" s="42">
        <f t="shared" si="91"/>
        <v>66.666666666666657</v>
      </c>
      <c r="EO22" s="44" t="s">
        <v>75</v>
      </c>
      <c r="EP22" s="50">
        <v>9</v>
      </c>
      <c r="EQ22" s="50">
        <v>1</v>
      </c>
      <c r="ER22" s="34">
        <f t="shared" si="52"/>
        <v>10</v>
      </c>
      <c r="ES22" s="50">
        <v>8</v>
      </c>
      <c r="ET22" s="50">
        <v>0</v>
      </c>
      <c r="EU22" s="34">
        <f t="shared" si="53"/>
        <v>2</v>
      </c>
      <c r="EV22" s="50">
        <v>2</v>
      </c>
      <c r="EW22" s="54">
        <f t="shared" si="92"/>
        <v>80</v>
      </c>
      <c r="EX22" s="44" t="s">
        <v>75</v>
      </c>
      <c r="EY22" s="50">
        <v>29</v>
      </c>
      <c r="EZ22" s="50">
        <v>0</v>
      </c>
      <c r="FA22" s="56">
        <f t="shared" si="55"/>
        <v>29</v>
      </c>
      <c r="FB22" s="50">
        <v>25</v>
      </c>
      <c r="FC22" s="50">
        <v>0</v>
      </c>
      <c r="FD22" s="56">
        <f t="shared" si="56"/>
        <v>4</v>
      </c>
      <c r="FE22" s="50">
        <v>0</v>
      </c>
      <c r="FF22" s="42">
        <f t="shared" si="93"/>
        <v>86.206896551724128</v>
      </c>
      <c r="FG22" s="93" t="s">
        <v>185</v>
      </c>
      <c r="FH22" s="1">
        <v>60</v>
      </c>
      <c r="FI22" s="1">
        <v>0</v>
      </c>
      <c r="FJ22" s="7">
        <f t="shared" si="58"/>
        <v>60</v>
      </c>
      <c r="FK22" s="1">
        <v>0</v>
      </c>
      <c r="FL22" s="1">
        <v>0</v>
      </c>
      <c r="FM22" s="7">
        <f t="shared" si="59"/>
        <v>60</v>
      </c>
      <c r="FN22" s="1">
        <v>26</v>
      </c>
      <c r="FO22" s="37">
        <f t="shared" si="0"/>
        <v>0</v>
      </c>
      <c r="FY22" s="5" t="s">
        <v>178</v>
      </c>
      <c r="FZ22" s="5">
        <v>30</v>
      </c>
      <c r="GA22" s="5">
        <v>0</v>
      </c>
      <c r="GB22" s="90">
        <f t="shared" si="63"/>
        <v>30</v>
      </c>
      <c r="GC22" s="5">
        <v>4</v>
      </c>
      <c r="GD22" s="5">
        <v>0</v>
      </c>
      <c r="GE22" s="90">
        <f t="shared" si="64"/>
        <v>26</v>
      </c>
      <c r="GF22" s="5">
        <v>27</v>
      </c>
      <c r="GG22" s="9">
        <f t="shared" si="1"/>
        <v>13.333333333333334</v>
      </c>
      <c r="GH22" s="133" t="s">
        <v>202</v>
      </c>
      <c r="GI22" s="134">
        <v>25</v>
      </c>
      <c r="GJ22" s="134">
        <v>10</v>
      </c>
      <c r="GK22" s="39">
        <f t="shared" si="65"/>
        <v>35</v>
      </c>
      <c r="GL22" s="134">
        <v>18</v>
      </c>
      <c r="GM22" s="134">
        <v>0</v>
      </c>
      <c r="GN22" s="39">
        <f t="shared" si="66"/>
        <v>17</v>
      </c>
      <c r="GO22" s="134">
        <v>1</v>
      </c>
      <c r="GP22" s="136">
        <f t="shared" si="67"/>
        <v>51.428571428571423</v>
      </c>
      <c r="GQ22" s="133" t="s">
        <v>202</v>
      </c>
      <c r="GR22" s="134">
        <v>50</v>
      </c>
      <c r="GS22" s="134">
        <v>6</v>
      </c>
      <c r="GT22" s="64">
        <f t="shared" si="68"/>
        <v>56</v>
      </c>
      <c r="GU22" s="134">
        <v>48</v>
      </c>
      <c r="GV22" s="134">
        <v>0</v>
      </c>
      <c r="GW22" s="64">
        <f t="shared" si="69"/>
        <v>8</v>
      </c>
      <c r="GX22" s="134">
        <v>1</v>
      </c>
      <c r="GY22" s="135">
        <f t="shared" si="70"/>
        <v>85.714285714285708</v>
      </c>
      <c r="GZ22" s="88" t="s">
        <v>186</v>
      </c>
      <c r="HA22" s="88">
        <v>35</v>
      </c>
      <c r="HB22" s="88">
        <v>1</v>
      </c>
      <c r="HC22" s="64">
        <f t="shared" si="71"/>
        <v>36</v>
      </c>
      <c r="HD22" s="88">
        <v>25</v>
      </c>
      <c r="HE22" s="88">
        <v>0</v>
      </c>
      <c r="HF22" s="64">
        <f t="shared" si="72"/>
        <v>11</v>
      </c>
      <c r="HG22" s="88">
        <v>0</v>
      </c>
      <c r="HH22" s="95">
        <f t="shared" si="2"/>
        <v>69.444444444444443</v>
      </c>
      <c r="HI22" s="39" t="s">
        <v>75</v>
      </c>
      <c r="HJ22" s="39">
        <v>24</v>
      </c>
      <c r="HK22" s="39">
        <v>0</v>
      </c>
      <c r="HL22" s="3">
        <f t="shared" si="73"/>
        <v>24</v>
      </c>
      <c r="HM22" s="39">
        <v>10</v>
      </c>
      <c r="HN22" s="39">
        <v>0</v>
      </c>
      <c r="HO22" s="3">
        <f t="shared" si="74"/>
        <v>14</v>
      </c>
      <c r="HP22" s="39">
        <v>9</v>
      </c>
      <c r="HQ22" s="40">
        <f t="shared" si="3"/>
        <v>41.666666666666671</v>
      </c>
      <c r="HR22" s="5" t="s">
        <v>0</v>
      </c>
      <c r="HS22" s="5">
        <v>22</v>
      </c>
      <c r="HT22" s="5">
        <v>0</v>
      </c>
      <c r="HU22" s="3">
        <f t="shared" si="75"/>
        <v>22</v>
      </c>
      <c r="HV22" s="5">
        <v>11</v>
      </c>
      <c r="HW22" s="5">
        <v>0</v>
      </c>
      <c r="HX22" s="3">
        <f t="shared" si="76"/>
        <v>11</v>
      </c>
      <c r="HY22" s="5">
        <v>14</v>
      </c>
      <c r="HZ22" s="23">
        <f t="shared" si="77"/>
        <v>50</v>
      </c>
      <c r="IA22" s="39" t="s">
        <v>75</v>
      </c>
      <c r="IB22" s="39">
        <v>33</v>
      </c>
      <c r="IC22" s="39">
        <v>0</v>
      </c>
      <c r="ID22" s="3">
        <f t="shared" si="78"/>
        <v>33</v>
      </c>
      <c r="IE22" s="39">
        <v>11</v>
      </c>
      <c r="IF22" s="39">
        <v>0</v>
      </c>
      <c r="IG22" s="3">
        <f t="shared" si="79"/>
        <v>22</v>
      </c>
      <c r="IH22" s="39">
        <v>11</v>
      </c>
      <c r="II22" s="40">
        <f t="shared" si="80"/>
        <v>33.333333333333329</v>
      </c>
      <c r="IJ22" s="39" t="s">
        <v>75</v>
      </c>
      <c r="IK22" s="7">
        <v>26</v>
      </c>
      <c r="IL22" s="7">
        <v>5</v>
      </c>
      <c r="IM22" s="3">
        <f t="shared" si="81"/>
        <v>31</v>
      </c>
      <c r="IN22" s="7">
        <v>16</v>
      </c>
      <c r="IO22" s="7">
        <v>0</v>
      </c>
      <c r="IP22" s="3">
        <f t="shared" si="82"/>
        <v>15</v>
      </c>
      <c r="IQ22" s="7">
        <v>2</v>
      </c>
      <c r="IR22" s="46">
        <f t="shared" si="83"/>
        <v>51.612903225806448</v>
      </c>
      <c r="IS22" s="39" t="s">
        <v>75</v>
      </c>
      <c r="IT22" s="39">
        <v>29</v>
      </c>
      <c r="IU22" s="39">
        <v>4</v>
      </c>
      <c r="IV22" s="3">
        <f t="shared" si="84"/>
        <v>33</v>
      </c>
      <c r="IW22" s="39">
        <v>21</v>
      </c>
      <c r="IX22" s="39">
        <v>0</v>
      </c>
      <c r="IY22" s="3">
        <f t="shared" si="85"/>
        <v>12</v>
      </c>
      <c r="IZ22" s="39">
        <v>1</v>
      </c>
      <c r="JA22" s="40">
        <f t="shared" si="86"/>
        <v>63.636363636363633</v>
      </c>
      <c r="JB22" s="101" t="s">
        <v>190</v>
      </c>
      <c r="JC22" s="98">
        <v>24</v>
      </c>
      <c r="JD22" s="98">
        <v>1</v>
      </c>
      <c r="JE22" s="5">
        <f t="shared" si="87"/>
        <v>25</v>
      </c>
      <c r="JF22" s="98">
        <v>16</v>
      </c>
      <c r="JG22" s="98">
        <v>0</v>
      </c>
      <c r="JH22" s="5">
        <f t="shared" si="88"/>
        <v>9</v>
      </c>
      <c r="JI22" s="98">
        <v>5</v>
      </c>
      <c r="JJ22" s="36">
        <f>(JF22/JC22)*100</f>
        <v>66.666666666666657</v>
      </c>
    </row>
    <row r="23" spans="1:270" x14ac:dyDescent="0.2">
      <c r="A23" s="1" t="s">
        <v>0</v>
      </c>
      <c r="B23" s="75">
        <v>31</v>
      </c>
      <c r="C23" s="76">
        <v>0</v>
      </c>
      <c r="D23" s="72">
        <f t="shared" si="4"/>
        <v>31</v>
      </c>
      <c r="E23" s="76">
        <v>6</v>
      </c>
      <c r="F23" s="76">
        <v>0</v>
      </c>
      <c r="G23" s="72">
        <f t="shared" si="5"/>
        <v>25</v>
      </c>
      <c r="H23" s="76">
        <v>6</v>
      </c>
      <c r="I23" s="13">
        <f t="shared" si="97"/>
        <v>19.35483870967742</v>
      </c>
      <c r="J23" s="1" t="s">
        <v>0</v>
      </c>
      <c r="K23" s="5">
        <v>42</v>
      </c>
      <c r="L23" s="5">
        <v>0</v>
      </c>
      <c r="M23" s="10">
        <f t="shared" si="7"/>
        <v>42</v>
      </c>
      <c r="N23" s="5">
        <v>18</v>
      </c>
      <c r="O23" s="5">
        <v>0</v>
      </c>
      <c r="P23" s="74">
        <f t="shared" si="8"/>
        <v>24</v>
      </c>
      <c r="Q23" s="76">
        <v>2</v>
      </c>
      <c r="R23" s="9">
        <f t="shared" si="94"/>
        <v>42.857142857142854</v>
      </c>
      <c r="S23" s="1" t="s">
        <v>0</v>
      </c>
      <c r="T23" s="5">
        <v>27</v>
      </c>
      <c r="U23" s="5">
        <v>0</v>
      </c>
      <c r="V23" s="10">
        <f t="shared" si="10"/>
        <v>27</v>
      </c>
      <c r="W23" s="5">
        <v>8</v>
      </c>
      <c r="X23" s="5">
        <v>0</v>
      </c>
      <c r="Y23" s="74">
        <f t="shared" si="11"/>
        <v>19</v>
      </c>
      <c r="Z23" s="5">
        <v>2</v>
      </c>
      <c r="AA23" s="9">
        <f t="shared" si="96"/>
        <v>29.629629629629626</v>
      </c>
      <c r="AB23" t="s">
        <v>75</v>
      </c>
      <c r="AC23" s="7">
        <v>21</v>
      </c>
      <c r="AD23" s="7">
        <v>3</v>
      </c>
      <c r="AE23" s="76">
        <f t="shared" si="13"/>
        <v>24</v>
      </c>
      <c r="AF23" s="7">
        <v>21</v>
      </c>
      <c r="AG23" s="7">
        <v>0</v>
      </c>
      <c r="AH23" s="76">
        <f t="shared" si="14"/>
        <v>3</v>
      </c>
      <c r="AI23" s="7">
        <v>5</v>
      </c>
      <c r="AJ23" s="48">
        <f t="shared" si="15"/>
        <v>87.5</v>
      </c>
      <c r="AK23" t="s">
        <v>75</v>
      </c>
      <c r="AL23" s="7">
        <v>33</v>
      </c>
      <c r="AM23" s="7">
        <v>14</v>
      </c>
      <c r="AN23" s="5">
        <f t="shared" si="16"/>
        <v>47</v>
      </c>
      <c r="AO23" s="7">
        <v>32</v>
      </c>
      <c r="AP23" s="7">
        <v>0</v>
      </c>
      <c r="AQ23" s="5">
        <f t="shared" si="17"/>
        <v>15</v>
      </c>
      <c r="AR23" s="7">
        <v>2</v>
      </c>
      <c r="AS23" s="8">
        <f t="shared" si="18"/>
        <v>68.085106382978722</v>
      </c>
      <c r="AT23" s="112" t="s">
        <v>199</v>
      </c>
      <c r="AU23" s="122">
        <v>28</v>
      </c>
      <c r="AV23" s="122">
        <v>8</v>
      </c>
      <c r="AW23" s="5">
        <f t="shared" si="19"/>
        <v>36</v>
      </c>
      <c r="AX23" s="122">
        <v>20</v>
      </c>
      <c r="AY23" s="122">
        <v>0</v>
      </c>
      <c r="AZ23" s="5">
        <f t="shared" si="20"/>
        <v>16</v>
      </c>
      <c r="BA23" s="122">
        <v>3</v>
      </c>
      <c r="BB23" s="128">
        <f t="shared" si="99"/>
        <v>55.555555555555557</v>
      </c>
      <c r="BC23" s="1" t="s">
        <v>75</v>
      </c>
      <c r="BD23" s="41">
        <v>60</v>
      </c>
      <c r="BE23" s="41">
        <v>0</v>
      </c>
      <c r="BF23" s="5">
        <f t="shared" si="22"/>
        <v>60</v>
      </c>
      <c r="BG23" s="41">
        <v>1</v>
      </c>
      <c r="BH23" s="41">
        <v>0</v>
      </c>
      <c r="BI23" s="5">
        <f t="shared" si="23"/>
        <v>59</v>
      </c>
      <c r="BJ23" s="41">
        <v>4</v>
      </c>
      <c r="BK23" s="42">
        <f t="shared" si="24"/>
        <v>1.6666666666666667</v>
      </c>
      <c r="BL23" t="s">
        <v>75</v>
      </c>
      <c r="BM23" s="41">
        <v>37</v>
      </c>
      <c r="BN23" s="41">
        <v>0</v>
      </c>
      <c r="BO23" s="5">
        <f t="shared" si="25"/>
        <v>37</v>
      </c>
      <c r="BP23" s="41">
        <v>3</v>
      </c>
      <c r="BQ23" s="41">
        <v>0</v>
      </c>
      <c r="BR23" s="5">
        <f t="shared" si="26"/>
        <v>34</v>
      </c>
      <c r="BS23" s="41">
        <v>0</v>
      </c>
      <c r="BT23" s="45">
        <f t="shared" si="27"/>
        <v>8.1081081081081088</v>
      </c>
      <c r="BU23" t="s">
        <v>75</v>
      </c>
      <c r="BV23" s="41">
        <v>32</v>
      </c>
      <c r="BW23" s="41">
        <v>0</v>
      </c>
      <c r="BX23" s="5">
        <f t="shared" si="28"/>
        <v>32</v>
      </c>
      <c r="BY23" s="41">
        <v>7</v>
      </c>
      <c r="BZ23" s="41">
        <v>0</v>
      </c>
      <c r="CA23" s="5">
        <f t="shared" si="29"/>
        <v>25</v>
      </c>
      <c r="CB23" s="41">
        <v>4</v>
      </c>
      <c r="CC23" s="42">
        <f t="shared" si="98"/>
        <v>21.875</v>
      </c>
      <c r="CD23" s="11" t="s">
        <v>75</v>
      </c>
      <c r="CE23" s="50">
        <v>25</v>
      </c>
      <c r="CF23" s="50">
        <v>21</v>
      </c>
      <c r="CG23" s="76">
        <f t="shared" si="31"/>
        <v>46</v>
      </c>
      <c r="CH23" s="50">
        <v>21</v>
      </c>
      <c r="CI23" s="50">
        <v>0</v>
      </c>
      <c r="CJ23" s="76">
        <f t="shared" si="32"/>
        <v>25</v>
      </c>
      <c r="CK23" s="50">
        <v>0</v>
      </c>
      <c r="CL23" s="43">
        <f t="shared" si="33"/>
        <v>45.652173913043477</v>
      </c>
      <c r="CM23" s="11" t="s">
        <v>75</v>
      </c>
      <c r="CN23" s="50">
        <v>57</v>
      </c>
      <c r="CO23" s="50">
        <v>1</v>
      </c>
      <c r="CP23" s="76">
        <f t="shared" si="34"/>
        <v>58</v>
      </c>
      <c r="CQ23" s="50">
        <v>56</v>
      </c>
      <c r="CR23" s="50">
        <v>0</v>
      </c>
      <c r="CS23" s="76">
        <f t="shared" si="35"/>
        <v>2</v>
      </c>
      <c r="CT23" s="50">
        <v>0</v>
      </c>
      <c r="CU23" s="42">
        <f t="shared" si="36"/>
        <v>96.551724137931032</v>
      </c>
      <c r="CV23" s="11" t="s">
        <v>75</v>
      </c>
      <c r="CW23" s="50">
        <v>42</v>
      </c>
      <c r="CX23" s="50">
        <v>25</v>
      </c>
      <c r="CY23" s="76">
        <f t="shared" si="37"/>
        <v>67</v>
      </c>
      <c r="CZ23" s="50">
        <v>35</v>
      </c>
      <c r="DA23" s="50">
        <v>0</v>
      </c>
      <c r="DB23" s="76">
        <f t="shared" si="38"/>
        <v>32</v>
      </c>
      <c r="DC23" s="50">
        <v>0</v>
      </c>
      <c r="DD23" s="43">
        <f t="shared" si="39"/>
        <v>52.238805970149251</v>
      </c>
      <c r="DE23" s="68" t="s">
        <v>3</v>
      </c>
      <c r="DF23" s="39">
        <v>16</v>
      </c>
      <c r="DG23" s="39">
        <v>0</v>
      </c>
      <c r="DH23" s="55">
        <f t="shared" si="40"/>
        <v>16</v>
      </c>
      <c r="DI23" s="39">
        <v>3</v>
      </c>
      <c r="DJ23" s="39">
        <v>0</v>
      </c>
      <c r="DK23" s="55">
        <f t="shared" si="41"/>
        <v>13</v>
      </c>
      <c r="DL23" s="39">
        <v>16</v>
      </c>
      <c r="DM23" s="37">
        <f t="shared" si="42"/>
        <v>18.75</v>
      </c>
      <c r="DN23" t="s">
        <v>75</v>
      </c>
      <c r="DO23">
        <v>11</v>
      </c>
      <c r="DP23">
        <v>0</v>
      </c>
      <c r="DQ23">
        <f t="shared" si="43"/>
        <v>11</v>
      </c>
      <c r="DR23">
        <v>1</v>
      </c>
      <c r="DS23">
        <v>0</v>
      </c>
      <c r="DT23">
        <f t="shared" si="44"/>
        <v>10</v>
      </c>
      <c r="DU23">
        <v>8</v>
      </c>
      <c r="DV23" s="11">
        <f t="shared" si="45"/>
        <v>9.0909090909090917</v>
      </c>
      <c r="DW23" s="68" t="s">
        <v>189</v>
      </c>
      <c r="DX23" s="97">
        <v>7</v>
      </c>
      <c r="DY23" s="39">
        <v>0</v>
      </c>
      <c r="DZ23" s="55">
        <f t="shared" si="46"/>
        <v>7</v>
      </c>
      <c r="EA23" s="7">
        <v>4</v>
      </c>
      <c r="EB23" s="39">
        <v>0</v>
      </c>
      <c r="EC23" s="55">
        <f t="shared" si="47"/>
        <v>3</v>
      </c>
      <c r="ED23" s="7">
        <v>3</v>
      </c>
      <c r="EE23" s="83">
        <f t="shared" si="95"/>
        <v>57.142857142857139</v>
      </c>
      <c r="EF23" s="44" t="s">
        <v>75</v>
      </c>
      <c r="EG23" s="50">
        <v>23</v>
      </c>
      <c r="EH23" s="50">
        <v>3</v>
      </c>
      <c r="EI23" s="34">
        <f t="shared" si="49"/>
        <v>26</v>
      </c>
      <c r="EJ23" s="50">
        <v>20</v>
      </c>
      <c r="EK23" s="50">
        <v>0</v>
      </c>
      <c r="EL23" s="34">
        <f t="shared" si="50"/>
        <v>6</v>
      </c>
      <c r="EM23" s="50">
        <v>0</v>
      </c>
      <c r="EN23" s="42">
        <f t="shared" si="91"/>
        <v>76.923076923076934</v>
      </c>
      <c r="EO23" s="44" t="s">
        <v>75</v>
      </c>
      <c r="EP23" s="50">
        <v>7</v>
      </c>
      <c r="EQ23" s="50">
        <v>0</v>
      </c>
      <c r="ER23" s="34">
        <f t="shared" si="52"/>
        <v>7</v>
      </c>
      <c r="ES23" s="50">
        <v>5</v>
      </c>
      <c r="ET23" s="50">
        <v>0</v>
      </c>
      <c r="EU23" s="34">
        <f t="shared" si="53"/>
        <v>2</v>
      </c>
      <c r="EV23" s="50">
        <v>0</v>
      </c>
      <c r="EW23" s="54">
        <f t="shared" si="92"/>
        <v>71.428571428571431</v>
      </c>
      <c r="EX23" s="44" t="s">
        <v>75</v>
      </c>
      <c r="EY23" s="50">
        <v>18</v>
      </c>
      <c r="EZ23" s="50">
        <v>1</v>
      </c>
      <c r="FA23" s="56">
        <f t="shared" si="55"/>
        <v>19</v>
      </c>
      <c r="FB23" s="50">
        <v>14</v>
      </c>
      <c r="FC23" s="50">
        <v>0</v>
      </c>
      <c r="FD23" s="56">
        <f t="shared" si="56"/>
        <v>5</v>
      </c>
      <c r="FE23" s="50">
        <v>3</v>
      </c>
      <c r="FF23" s="42">
        <f t="shared" si="93"/>
        <v>73.68421052631578</v>
      </c>
      <c r="FG23" s="93" t="s">
        <v>184</v>
      </c>
      <c r="FH23" s="39">
        <v>41</v>
      </c>
      <c r="FI23" s="39">
        <v>0</v>
      </c>
      <c r="FJ23" s="7">
        <f t="shared" si="58"/>
        <v>41</v>
      </c>
      <c r="FK23" s="39">
        <v>2</v>
      </c>
      <c r="FL23" s="39">
        <v>0</v>
      </c>
      <c r="FM23" s="7">
        <f t="shared" si="59"/>
        <v>39</v>
      </c>
      <c r="FN23" s="39">
        <v>18</v>
      </c>
      <c r="FO23" s="37">
        <f t="shared" si="0"/>
        <v>4.8780487804878048</v>
      </c>
      <c r="FS23" s="39"/>
      <c r="FV23" s="39"/>
      <c r="FY23" s="5" t="s">
        <v>178</v>
      </c>
      <c r="FZ23" s="5">
        <v>38</v>
      </c>
      <c r="GA23" s="65">
        <v>0</v>
      </c>
      <c r="GB23" s="90">
        <f t="shared" si="63"/>
        <v>38</v>
      </c>
      <c r="GC23" s="5">
        <v>4</v>
      </c>
      <c r="GD23" s="65">
        <v>0</v>
      </c>
      <c r="GE23" s="90">
        <f t="shared" si="64"/>
        <v>34</v>
      </c>
      <c r="GF23" s="5">
        <v>20</v>
      </c>
      <c r="GG23" s="9">
        <f t="shared" si="1"/>
        <v>10.526315789473683</v>
      </c>
      <c r="GH23" s="133" t="s">
        <v>202</v>
      </c>
      <c r="GI23" s="134">
        <v>35</v>
      </c>
      <c r="GJ23" s="134">
        <v>8</v>
      </c>
      <c r="GK23" s="39">
        <f t="shared" si="65"/>
        <v>43</v>
      </c>
      <c r="GL23" s="134">
        <v>32</v>
      </c>
      <c r="GM23" s="134">
        <v>0</v>
      </c>
      <c r="GN23" s="39">
        <f t="shared" si="66"/>
        <v>11</v>
      </c>
      <c r="GO23" s="134">
        <v>1</v>
      </c>
      <c r="GP23" s="136">
        <f t="shared" si="67"/>
        <v>74.418604651162795</v>
      </c>
      <c r="GQ23" s="133" t="s">
        <v>202</v>
      </c>
      <c r="GR23" s="134">
        <v>35</v>
      </c>
      <c r="GS23" s="134">
        <v>4</v>
      </c>
      <c r="GT23" s="64">
        <f t="shared" si="68"/>
        <v>39</v>
      </c>
      <c r="GU23" s="134">
        <v>32</v>
      </c>
      <c r="GV23" s="134">
        <v>0</v>
      </c>
      <c r="GW23" s="64">
        <f t="shared" si="69"/>
        <v>7</v>
      </c>
      <c r="GX23" s="134">
        <v>0</v>
      </c>
      <c r="GY23" s="135">
        <f t="shared" si="70"/>
        <v>82.051282051282044</v>
      </c>
      <c r="GZ23" s="88" t="s">
        <v>187</v>
      </c>
      <c r="HA23" s="96">
        <v>40</v>
      </c>
      <c r="HB23" s="96">
        <v>5</v>
      </c>
      <c r="HC23" s="64">
        <f t="shared" si="71"/>
        <v>45</v>
      </c>
      <c r="HD23" s="96">
        <v>27</v>
      </c>
      <c r="HE23" s="96">
        <v>0</v>
      </c>
      <c r="HF23" s="64">
        <f t="shared" si="72"/>
        <v>18</v>
      </c>
      <c r="HG23" s="96">
        <v>0</v>
      </c>
      <c r="HH23" s="95">
        <f t="shared" si="2"/>
        <v>60</v>
      </c>
      <c r="HI23" s="39" t="s">
        <v>75</v>
      </c>
      <c r="HJ23" s="39">
        <v>15</v>
      </c>
      <c r="HK23" s="39">
        <v>0</v>
      </c>
      <c r="HL23" s="3">
        <f t="shared" si="73"/>
        <v>15</v>
      </c>
      <c r="HM23" s="39">
        <v>2</v>
      </c>
      <c r="HN23" s="39">
        <v>0</v>
      </c>
      <c r="HO23" s="3">
        <f t="shared" si="74"/>
        <v>13</v>
      </c>
      <c r="HP23" s="39">
        <v>12</v>
      </c>
      <c r="HQ23" s="40">
        <f t="shared" si="3"/>
        <v>13.333333333333334</v>
      </c>
      <c r="HR23" s="5" t="s">
        <v>0</v>
      </c>
      <c r="HS23" s="5">
        <v>27</v>
      </c>
      <c r="HT23" s="5">
        <v>0</v>
      </c>
      <c r="HU23" s="3">
        <f t="shared" si="75"/>
        <v>27</v>
      </c>
      <c r="HV23" s="5">
        <v>13</v>
      </c>
      <c r="HW23" s="5">
        <v>0</v>
      </c>
      <c r="HX23" s="3">
        <f t="shared" si="76"/>
        <v>14</v>
      </c>
      <c r="HY23" s="5">
        <v>11</v>
      </c>
      <c r="HZ23" s="23">
        <f t="shared" si="77"/>
        <v>48.148148148148145</v>
      </c>
      <c r="IA23" s="39" t="s">
        <v>75</v>
      </c>
      <c r="IB23" s="39">
        <v>23</v>
      </c>
      <c r="IC23" s="39">
        <v>0</v>
      </c>
      <c r="ID23" s="3">
        <f t="shared" si="78"/>
        <v>23</v>
      </c>
      <c r="IE23" s="39">
        <v>8</v>
      </c>
      <c r="IF23" s="39">
        <v>0</v>
      </c>
      <c r="IG23" s="3">
        <f t="shared" si="79"/>
        <v>15</v>
      </c>
      <c r="IH23" s="39">
        <v>10</v>
      </c>
      <c r="II23" s="40">
        <f t="shared" si="80"/>
        <v>34.782608695652172</v>
      </c>
      <c r="IJ23" s="39" t="s">
        <v>75</v>
      </c>
      <c r="IK23" s="7">
        <v>21</v>
      </c>
      <c r="IL23" s="7">
        <v>6</v>
      </c>
      <c r="IM23" s="3">
        <f t="shared" si="81"/>
        <v>27</v>
      </c>
      <c r="IN23" s="7">
        <v>13</v>
      </c>
      <c r="IO23" s="7">
        <v>0</v>
      </c>
      <c r="IP23" s="3">
        <f t="shared" si="82"/>
        <v>14</v>
      </c>
      <c r="IQ23" s="7">
        <v>3</v>
      </c>
      <c r="IR23" s="46">
        <f t="shared" si="83"/>
        <v>48.148148148148145</v>
      </c>
      <c r="IS23" s="39" t="s">
        <v>75</v>
      </c>
      <c r="IT23" s="39">
        <v>24</v>
      </c>
      <c r="IU23" s="39">
        <v>5</v>
      </c>
      <c r="IV23" s="3">
        <f t="shared" si="84"/>
        <v>29</v>
      </c>
      <c r="IW23" s="39">
        <v>16</v>
      </c>
      <c r="IX23" s="39">
        <v>0</v>
      </c>
      <c r="IY23" s="3">
        <f t="shared" si="85"/>
        <v>13</v>
      </c>
      <c r="IZ23" s="39">
        <v>3</v>
      </c>
      <c r="JA23" s="40">
        <f t="shared" si="86"/>
        <v>55.172413793103445</v>
      </c>
      <c r="JB23" s="101" t="s">
        <v>191</v>
      </c>
      <c r="JC23" s="98">
        <v>20</v>
      </c>
      <c r="JD23" s="98">
        <v>3</v>
      </c>
      <c r="JE23" s="5">
        <f t="shared" si="87"/>
        <v>23</v>
      </c>
      <c r="JF23" s="98">
        <v>16</v>
      </c>
      <c r="JG23" s="98">
        <v>0</v>
      </c>
      <c r="JH23" s="5">
        <f t="shared" si="88"/>
        <v>7</v>
      </c>
      <c r="JI23" s="98">
        <v>4</v>
      </c>
      <c r="JJ23" s="36">
        <f t="shared" ref="JJ23:JJ31" si="100">(JF23/JC23)*100</f>
        <v>80</v>
      </c>
    </row>
    <row r="24" spans="1:270" x14ac:dyDescent="0.2">
      <c r="A24" s="1" t="s">
        <v>0</v>
      </c>
      <c r="B24" s="75">
        <v>41</v>
      </c>
      <c r="C24" s="76">
        <v>0</v>
      </c>
      <c r="D24" s="72">
        <f t="shared" si="4"/>
        <v>41</v>
      </c>
      <c r="E24" s="76">
        <v>10</v>
      </c>
      <c r="F24" s="76">
        <v>0</v>
      </c>
      <c r="G24" s="72">
        <f t="shared" si="5"/>
        <v>31</v>
      </c>
      <c r="H24" s="76">
        <v>9</v>
      </c>
      <c r="I24" s="13">
        <f t="shared" si="97"/>
        <v>24.390243902439025</v>
      </c>
      <c r="J24" s="1" t="s">
        <v>0</v>
      </c>
      <c r="K24" s="5">
        <v>39</v>
      </c>
      <c r="L24" s="5">
        <v>0</v>
      </c>
      <c r="M24" s="10">
        <f t="shared" si="7"/>
        <v>39</v>
      </c>
      <c r="N24" s="5">
        <v>23</v>
      </c>
      <c r="O24" s="5">
        <v>0</v>
      </c>
      <c r="P24" s="74">
        <f t="shared" si="8"/>
        <v>16</v>
      </c>
      <c r="Q24" s="76">
        <v>5</v>
      </c>
      <c r="R24" s="9">
        <f t="shared" si="94"/>
        <v>58.974358974358978</v>
      </c>
      <c r="S24" s="1" t="s">
        <v>0</v>
      </c>
      <c r="T24" s="5">
        <v>29</v>
      </c>
      <c r="U24" s="5">
        <v>0</v>
      </c>
      <c r="V24" s="10">
        <f t="shared" si="10"/>
        <v>29</v>
      </c>
      <c r="W24" s="5">
        <v>12</v>
      </c>
      <c r="X24" s="5">
        <v>0</v>
      </c>
      <c r="Y24" s="74">
        <f t="shared" si="11"/>
        <v>17</v>
      </c>
      <c r="Z24" s="5">
        <v>4</v>
      </c>
      <c r="AA24" s="9">
        <f t="shared" si="96"/>
        <v>41.379310344827587</v>
      </c>
      <c r="AB24" t="s">
        <v>75</v>
      </c>
      <c r="AC24" s="7">
        <v>34</v>
      </c>
      <c r="AD24" s="7">
        <v>3</v>
      </c>
      <c r="AE24" s="76">
        <f t="shared" si="13"/>
        <v>37</v>
      </c>
      <c r="AF24" s="7">
        <v>30</v>
      </c>
      <c r="AG24" s="7">
        <v>0</v>
      </c>
      <c r="AH24" s="76">
        <f t="shared" si="14"/>
        <v>7</v>
      </c>
      <c r="AI24" s="7">
        <v>3</v>
      </c>
      <c r="AJ24" s="48">
        <f t="shared" si="15"/>
        <v>81.081081081081081</v>
      </c>
      <c r="AK24" t="s">
        <v>75</v>
      </c>
      <c r="AL24" s="7">
        <v>31</v>
      </c>
      <c r="AM24" s="7">
        <v>8</v>
      </c>
      <c r="AN24" s="5">
        <f t="shared" si="16"/>
        <v>39</v>
      </c>
      <c r="AO24" s="7">
        <v>27</v>
      </c>
      <c r="AP24" s="7">
        <v>0</v>
      </c>
      <c r="AQ24" s="5">
        <f t="shared" si="17"/>
        <v>12</v>
      </c>
      <c r="AR24" s="7">
        <v>1</v>
      </c>
      <c r="AS24" s="8">
        <f t="shared" si="18"/>
        <v>69.230769230769226</v>
      </c>
      <c r="AT24" s="112" t="s">
        <v>199</v>
      </c>
      <c r="AU24" s="122">
        <v>21</v>
      </c>
      <c r="AV24" s="122">
        <v>2</v>
      </c>
      <c r="AW24" s="5">
        <f t="shared" si="19"/>
        <v>23</v>
      </c>
      <c r="AX24" s="122">
        <v>16</v>
      </c>
      <c r="AY24" s="122">
        <v>0</v>
      </c>
      <c r="AZ24" s="5">
        <f t="shared" si="20"/>
        <v>7</v>
      </c>
      <c r="BA24" s="122">
        <v>3</v>
      </c>
      <c r="BB24" s="128">
        <f t="shared" si="99"/>
        <v>69.565217391304344</v>
      </c>
      <c r="BC24" s="1" t="s">
        <v>75</v>
      </c>
      <c r="BD24" s="41">
        <v>41</v>
      </c>
      <c r="BE24" s="41">
        <v>0</v>
      </c>
      <c r="BF24" s="5">
        <f t="shared" si="22"/>
        <v>41</v>
      </c>
      <c r="BG24" s="41">
        <v>2</v>
      </c>
      <c r="BH24" s="41">
        <v>0</v>
      </c>
      <c r="BI24" s="5">
        <f t="shared" si="23"/>
        <v>39</v>
      </c>
      <c r="BJ24" s="41">
        <v>0</v>
      </c>
      <c r="BK24" s="42">
        <f t="shared" si="24"/>
        <v>4.8780487804878048</v>
      </c>
      <c r="BL24" t="s">
        <v>75</v>
      </c>
      <c r="BM24" s="41">
        <v>64</v>
      </c>
      <c r="BN24" s="41">
        <v>0</v>
      </c>
      <c r="BO24" s="5">
        <f t="shared" si="25"/>
        <v>64</v>
      </c>
      <c r="BP24" s="41">
        <v>0</v>
      </c>
      <c r="BQ24" s="41">
        <v>0</v>
      </c>
      <c r="BR24" s="5">
        <f t="shared" si="26"/>
        <v>64</v>
      </c>
      <c r="BS24" s="41">
        <v>0</v>
      </c>
      <c r="BT24" s="45">
        <f t="shared" si="27"/>
        <v>0</v>
      </c>
      <c r="BU24" t="s">
        <v>75</v>
      </c>
      <c r="BV24" s="41">
        <v>21</v>
      </c>
      <c r="BW24" s="41">
        <v>0</v>
      </c>
      <c r="BX24" s="5">
        <f t="shared" si="28"/>
        <v>21</v>
      </c>
      <c r="BY24" s="41">
        <v>10</v>
      </c>
      <c r="BZ24" s="41">
        <v>0</v>
      </c>
      <c r="CA24" s="5">
        <f t="shared" si="29"/>
        <v>11</v>
      </c>
      <c r="CB24" s="41">
        <v>1</v>
      </c>
      <c r="CC24" s="42">
        <f t="shared" si="98"/>
        <v>47.619047619047613</v>
      </c>
      <c r="CD24" s="11" t="s">
        <v>75</v>
      </c>
      <c r="CE24" s="50">
        <v>32</v>
      </c>
      <c r="CF24" s="50">
        <v>8</v>
      </c>
      <c r="CG24" s="76">
        <f t="shared" si="31"/>
        <v>40</v>
      </c>
      <c r="CH24" s="50">
        <v>26</v>
      </c>
      <c r="CI24" s="50">
        <v>0</v>
      </c>
      <c r="CJ24" s="76">
        <f t="shared" si="32"/>
        <v>14</v>
      </c>
      <c r="CK24" s="50">
        <v>0</v>
      </c>
      <c r="CL24" s="43">
        <f t="shared" si="33"/>
        <v>65</v>
      </c>
      <c r="CM24" s="11" t="s">
        <v>75</v>
      </c>
      <c r="CN24" s="50">
        <v>64</v>
      </c>
      <c r="CO24" s="50">
        <v>4</v>
      </c>
      <c r="CP24" s="76">
        <f t="shared" si="34"/>
        <v>68</v>
      </c>
      <c r="CQ24" s="50">
        <v>64</v>
      </c>
      <c r="CR24" s="50">
        <v>0</v>
      </c>
      <c r="CS24" s="76">
        <f t="shared" si="35"/>
        <v>4</v>
      </c>
      <c r="CT24" s="50">
        <v>0</v>
      </c>
      <c r="CU24" s="42">
        <f t="shared" si="36"/>
        <v>94.117647058823522</v>
      </c>
      <c r="CV24" s="11" t="s">
        <v>75</v>
      </c>
      <c r="CW24" s="50">
        <v>38</v>
      </c>
      <c r="CX24" s="50">
        <v>25</v>
      </c>
      <c r="CY24" s="76">
        <f t="shared" si="37"/>
        <v>63</v>
      </c>
      <c r="CZ24" s="50">
        <v>35</v>
      </c>
      <c r="DA24" s="50">
        <v>0</v>
      </c>
      <c r="DB24" s="76">
        <f t="shared" si="38"/>
        <v>28</v>
      </c>
      <c r="DC24" s="50">
        <v>0</v>
      </c>
      <c r="DD24" s="43">
        <f t="shared" si="39"/>
        <v>55.555555555555557</v>
      </c>
      <c r="DE24" s="68" t="s">
        <v>3</v>
      </c>
      <c r="DF24" s="39">
        <v>12</v>
      </c>
      <c r="DG24" s="39">
        <v>0</v>
      </c>
      <c r="DH24" s="55">
        <f t="shared" si="40"/>
        <v>12</v>
      </c>
      <c r="DI24" s="39">
        <v>2</v>
      </c>
      <c r="DJ24" s="39">
        <v>0</v>
      </c>
      <c r="DK24" s="55">
        <f t="shared" si="41"/>
        <v>10</v>
      </c>
      <c r="DL24" s="39">
        <v>9</v>
      </c>
      <c r="DM24" s="37">
        <f t="shared" si="42"/>
        <v>16.666666666666664</v>
      </c>
      <c r="DN24" t="s">
        <v>75</v>
      </c>
      <c r="DO24">
        <v>23</v>
      </c>
      <c r="DP24">
        <v>0</v>
      </c>
      <c r="DQ24">
        <f t="shared" si="43"/>
        <v>23</v>
      </c>
      <c r="DR24">
        <v>2</v>
      </c>
      <c r="DS24">
        <v>0</v>
      </c>
      <c r="DT24">
        <f t="shared" si="44"/>
        <v>21</v>
      </c>
      <c r="DU24">
        <v>23</v>
      </c>
      <c r="DV24" s="11">
        <f t="shared" si="45"/>
        <v>8.695652173913043</v>
      </c>
      <c r="DW24" s="68" t="s">
        <v>189</v>
      </c>
      <c r="DX24" s="97">
        <v>9</v>
      </c>
      <c r="DY24" s="39">
        <v>0</v>
      </c>
      <c r="DZ24" s="55">
        <f t="shared" si="46"/>
        <v>9</v>
      </c>
      <c r="EA24" s="7">
        <v>4</v>
      </c>
      <c r="EB24" s="39">
        <v>0</v>
      </c>
      <c r="EC24" s="55">
        <f t="shared" si="47"/>
        <v>5</v>
      </c>
      <c r="ED24" s="7">
        <v>2</v>
      </c>
      <c r="EE24" s="83">
        <f t="shared" si="95"/>
        <v>44.444444444444443</v>
      </c>
      <c r="EF24" s="44" t="s">
        <v>75</v>
      </c>
      <c r="EG24" s="50">
        <v>26</v>
      </c>
      <c r="EH24" s="50">
        <v>2</v>
      </c>
      <c r="EI24" s="34">
        <f t="shared" si="49"/>
        <v>28</v>
      </c>
      <c r="EJ24" s="50">
        <v>25</v>
      </c>
      <c r="EK24" s="50">
        <v>0</v>
      </c>
      <c r="EL24" s="34">
        <f t="shared" si="50"/>
        <v>3</v>
      </c>
      <c r="EM24" s="50">
        <v>1</v>
      </c>
      <c r="EN24" s="42">
        <f t="shared" si="91"/>
        <v>89.285714285714292</v>
      </c>
      <c r="EO24" s="44" t="s">
        <v>75</v>
      </c>
      <c r="EP24" s="50">
        <v>10</v>
      </c>
      <c r="EQ24" s="50">
        <v>0</v>
      </c>
      <c r="ER24" s="34">
        <f t="shared" si="52"/>
        <v>10</v>
      </c>
      <c r="ES24" s="50">
        <v>7</v>
      </c>
      <c r="ET24" s="50">
        <v>0</v>
      </c>
      <c r="EU24" s="34">
        <f t="shared" si="53"/>
        <v>3</v>
      </c>
      <c r="EV24" s="50">
        <v>1</v>
      </c>
      <c r="EW24" s="54">
        <f t="shared" si="92"/>
        <v>70</v>
      </c>
      <c r="EX24" s="44" t="s">
        <v>75</v>
      </c>
      <c r="EY24" s="50">
        <v>18</v>
      </c>
      <c r="EZ24" s="50">
        <v>0</v>
      </c>
      <c r="FA24" s="56">
        <f t="shared" si="55"/>
        <v>18</v>
      </c>
      <c r="FB24" s="50">
        <v>15</v>
      </c>
      <c r="FC24" s="50">
        <v>0</v>
      </c>
      <c r="FD24" s="56">
        <f t="shared" si="56"/>
        <v>3</v>
      </c>
      <c r="FE24" s="50">
        <v>5</v>
      </c>
      <c r="FF24" s="42">
        <f t="shared" si="93"/>
        <v>83.333333333333343</v>
      </c>
      <c r="FG24" s="93" t="s">
        <v>185</v>
      </c>
      <c r="FH24" s="39">
        <v>46</v>
      </c>
      <c r="FI24" s="39">
        <v>0</v>
      </c>
      <c r="FJ24" s="7">
        <f t="shared" si="58"/>
        <v>46</v>
      </c>
      <c r="FK24" s="39">
        <v>1</v>
      </c>
      <c r="FL24" s="39">
        <v>0</v>
      </c>
      <c r="FM24" s="7">
        <f t="shared" si="59"/>
        <v>45</v>
      </c>
      <c r="FN24" s="39">
        <v>31</v>
      </c>
      <c r="FO24" s="37">
        <f t="shared" si="0"/>
        <v>2.1739130434782608</v>
      </c>
      <c r="FP24" s="1"/>
      <c r="FQ24" s="1"/>
      <c r="FR24" s="1"/>
      <c r="FS24" s="1"/>
      <c r="FT24" s="1"/>
      <c r="FU24" s="1"/>
      <c r="FV24" s="1"/>
      <c r="FW24" s="1"/>
      <c r="FX24" s="1"/>
      <c r="FY24" s="5" t="s">
        <v>178</v>
      </c>
      <c r="FZ24" s="5">
        <v>36</v>
      </c>
      <c r="GA24" s="5">
        <v>0</v>
      </c>
      <c r="GB24" s="90">
        <f t="shared" si="63"/>
        <v>36</v>
      </c>
      <c r="GC24" s="5">
        <v>15</v>
      </c>
      <c r="GD24" s="5">
        <v>0</v>
      </c>
      <c r="GE24" s="90">
        <f t="shared" si="64"/>
        <v>21</v>
      </c>
      <c r="GF24" s="5">
        <v>8</v>
      </c>
      <c r="GG24" s="9">
        <f t="shared" si="1"/>
        <v>41.666666666666671</v>
      </c>
      <c r="GH24" s="133" t="s">
        <v>202</v>
      </c>
      <c r="GI24" s="134">
        <v>21</v>
      </c>
      <c r="GJ24" s="134">
        <v>8</v>
      </c>
      <c r="GK24" s="39">
        <f t="shared" si="65"/>
        <v>29</v>
      </c>
      <c r="GL24" s="134">
        <v>14</v>
      </c>
      <c r="GM24" s="134">
        <v>0</v>
      </c>
      <c r="GN24" s="39">
        <f t="shared" si="66"/>
        <v>15</v>
      </c>
      <c r="GO24" s="134">
        <v>0</v>
      </c>
      <c r="GP24" s="136">
        <f t="shared" si="67"/>
        <v>48.275862068965516</v>
      </c>
      <c r="GQ24" s="133" t="s">
        <v>202</v>
      </c>
      <c r="GR24" s="134">
        <v>45</v>
      </c>
      <c r="GS24" s="134">
        <v>5</v>
      </c>
      <c r="GT24" s="64">
        <f t="shared" si="68"/>
        <v>50</v>
      </c>
      <c r="GU24" s="134">
        <v>40</v>
      </c>
      <c r="GV24" s="134">
        <v>0</v>
      </c>
      <c r="GW24" s="64">
        <f t="shared" si="69"/>
        <v>10</v>
      </c>
      <c r="GX24" s="134">
        <v>2</v>
      </c>
      <c r="GY24" s="135">
        <f t="shared" si="70"/>
        <v>80</v>
      </c>
      <c r="GZ24" s="88" t="s">
        <v>188</v>
      </c>
      <c r="HA24" s="88">
        <v>23</v>
      </c>
      <c r="HB24" s="88">
        <v>1</v>
      </c>
      <c r="HC24" s="64">
        <f t="shared" si="71"/>
        <v>24</v>
      </c>
      <c r="HD24" s="88">
        <v>13</v>
      </c>
      <c r="HE24" s="88">
        <v>0</v>
      </c>
      <c r="HF24" s="64">
        <f t="shared" si="72"/>
        <v>11</v>
      </c>
      <c r="HG24" s="88">
        <v>1</v>
      </c>
      <c r="HH24" s="95">
        <f t="shared" si="2"/>
        <v>54.166666666666664</v>
      </c>
      <c r="HI24" s="39" t="s">
        <v>75</v>
      </c>
      <c r="HJ24" s="39">
        <v>25</v>
      </c>
      <c r="HK24" s="39">
        <v>0</v>
      </c>
      <c r="HL24" s="3">
        <f t="shared" si="73"/>
        <v>25</v>
      </c>
      <c r="HM24" s="39">
        <v>10</v>
      </c>
      <c r="HN24" s="39">
        <v>0</v>
      </c>
      <c r="HO24" s="3">
        <f t="shared" si="74"/>
        <v>15</v>
      </c>
      <c r="HP24" s="39">
        <v>12</v>
      </c>
      <c r="HQ24" s="40">
        <f t="shared" si="3"/>
        <v>40</v>
      </c>
      <c r="HR24" s="39" t="s">
        <v>75</v>
      </c>
      <c r="HS24" s="81">
        <v>23</v>
      </c>
      <c r="HT24" s="81">
        <v>0</v>
      </c>
      <c r="HU24" s="3">
        <f t="shared" si="75"/>
        <v>23</v>
      </c>
      <c r="HV24" s="81">
        <v>10</v>
      </c>
      <c r="HW24" s="81">
        <v>0</v>
      </c>
      <c r="HX24" s="3">
        <f t="shared" si="76"/>
        <v>13</v>
      </c>
      <c r="HY24" s="81">
        <v>8</v>
      </c>
      <c r="HZ24" s="40">
        <f t="shared" si="77"/>
        <v>43.478260869565219</v>
      </c>
      <c r="IA24" s="101" t="s">
        <v>190</v>
      </c>
      <c r="IB24" s="98">
        <v>21</v>
      </c>
      <c r="IC24" s="98">
        <v>0</v>
      </c>
      <c r="ID24" s="3">
        <f t="shared" si="78"/>
        <v>21</v>
      </c>
      <c r="IE24" s="98">
        <v>9</v>
      </c>
      <c r="IF24" s="98">
        <v>0</v>
      </c>
      <c r="IG24" s="3">
        <f t="shared" si="79"/>
        <v>12</v>
      </c>
      <c r="IH24" s="98">
        <v>16</v>
      </c>
      <c r="II24" s="36">
        <f>(IE24/IB24)*100</f>
        <v>42.857142857142854</v>
      </c>
      <c r="IJ24" s="39" t="s">
        <v>75</v>
      </c>
      <c r="IK24" s="7">
        <v>15</v>
      </c>
      <c r="IL24" s="7">
        <v>7</v>
      </c>
      <c r="IM24" s="3">
        <f t="shared" si="81"/>
        <v>22</v>
      </c>
      <c r="IN24" s="7">
        <v>11</v>
      </c>
      <c r="IO24" s="7">
        <v>2</v>
      </c>
      <c r="IP24" s="3">
        <f t="shared" si="82"/>
        <v>11</v>
      </c>
      <c r="IQ24" s="7">
        <v>2</v>
      </c>
      <c r="IR24" s="46">
        <f t="shared" si="83"/>
        <v>50</v>
      </c>
      <c r="IS24" s="39" t="s">
        <v>75</v>
      </c>
      <c r="IT24" s="39">
        <v>22</v>
      </c>
      <c r="IU24" s="39">
        <v>2</v>
      </c>
      <c r="IV24" s="3">
        <f t="shared" si="84"/>
        <v>24</v>
      </c>
      <c r="IW24" s="39">
        <v>19</v>
      </c>
      <c r="IX24" s="39">
        <v>0</v>
      </c>
      <c r="IY24" s="3">
        <f t="shared" si="85"/>
        <v>5</v>
      </c>
      <c r="IZ24" s="39">
        <v>2</v>
      </c>
      <c r="JA24" s="40">
        <f t="shared" si="86"/>
        <v>79.166666666666657</v>
      </c>
      <c r="JB24" s="101" t="s">
        <v>192</v>
      </c>
      <c r="JC24" s="98">
        <v>20</v>
      </c>
      <c r="JD24" s="98">
        <v>2</v>
      </c>
      <c r="JE24" s="5">
        <f t="shared" si="87"/>
        <v>22</v>
      </c>
      <c r="JF24" s="98">
        <v>14</v>
      </c>
      <c r="JG24" s="98">
        <v>0</v>
      </c>
      <c r="JH24" s="5">
        <f t="shared" si="88"/>
        <v>8</v>
      </c>
      <c r="JI24" s="98">
        <v>2</v>
      </c>
      <c r="JJ24" s="36">
        <f t="shared" si="100"/>
        <v>70</v>
      </c>
    </row>
    <row r="25" spans="1:270" x14ac:dyDescent="0.2">
      <c r="A25" s="1" t="s">
        <v>0</v>
      </c>
      <c r="B25" s="75">
        <v>48</v>
      </c>
      <c r="C25" s="76">
        <v>0</v>
      </c>
      <c r="D25" s="72">
        <f t="shared" si="4"/>
        <v>48</v>
      </c>
      <c r="E25" s="76">
        <v>15</v>
      </c>
      <c r="F25" s="76">
        <v>0</v>
      </c>
      <c r="G25" s="72">
        <f t="shared" si="5"/>
        <v>33</v>
      </c>
      <c r="H25" s="76">
        <v>8</v>
      </c>
      <c r="I25" s="13">
        <f t="shared" si="97"/>
        <v>31.25</v>
      </c>
      <c r="J25" s="1" t="s">
        <v>75</v>
      </c>
      <c r="K25" s="81">
        <v>43</v>
      </c>
      <c r="L25" s="82">
        <v>0</v>
      </c>
      <c r="M25" s="10">
        <f t="shared" si="7"/>
        <v>43</v>
      </c>
      <c r="N25" s="81">
        <v>20</v>
      </c>
      <c r="O25" s="82">
        <v>0</v>
      </c>
      <c r="P25" s="74">
        <f t="shared" si="8"/>
        <v>23</v>
      </c>
      <c r="Q25" s="130">
        <v>10</v>
      </c>
      <c r="R25" s="8">
        <f t="shared" ref="R25:R31" si="101">(N25/K25)*100</f>
        <v>46.511627906976742</v>
      </c>
      <c r="S25" s="1" t="s">
        <v>0</v>
      </c>
      <c r="T25" s="5">
        <v>31</v>
      </c>
      <c r="U25" s="5">
        <v>0</v>
      </c>
      <c r="V25" s="10">
        <f t="shared" si="10"/>
        <v>31</v>
      </c>
      <c r="W25" s="5">
        <v>8</v>
      </c>
      <c r="X25" s="5">
        <v>0</v>
      </c>
      <c r="Y25" s="74">
        <f t="shared" si="11"/>
        <v>23</v>
      </c>
      <c r="Z25" s="5">
        <v>8</v>
      </c>
      <c r="AA25" s="9">
        <f t="shared" si="96"/>
        <v>25.806451612903224</v>
      </c>
      <c r="AB25" t="s">
        <v>75</v>
      </c>
      <c r="AC25" s="7">
        <v>33</v>
      </c>
      <c r="AD25" s="7">
        <v>4</v>
      </c>
      <c r="AE25" s="76">
        <f t="shared" si="13"/>
        <v>37</v>
      </c>
      <c r="AF25" s="7">
        <v>31</v>
      </c>
      <c r="AG25" s="7">
        <v>0</v>
      </c>
      <c r="AH25" s="76">
        <f t="shared" si="14"/>
        <v>6</v>
      </c>
      <c r="AI25" s="7">
        <v>2</v>
      </c>
      <c r="AJ25" s="48">
        <f t="shared" si="15"/>
        <v>83.78378378378379</v>
      </c>
      <c r="AK25" t="s">
        <v>75</v>
      </c>
      <c r="AL25" s="7">
        <v>25</v>
      </c>
      <c r="AM25" s="7">
        <v>6</v>
      </c>
      <c r="AN25" s="5">
        <f t="shared" si="16"/>
        <v>31</v>
      </c>
      <c r="AO25" s="7">
        <v>21</v>
      </c>
      <c r="AP25" s="7">
        <v>0</v>
      </c>
      <c r="AQ25" s="5">
        <f t="shared" si="17"/>
        <v>10</v>
      </c>
      <c r="AR25" s="7">
        <v>0</v>
      </c>
      <c r="AS25" s="8">
        <f t="shared" si="18"/>
        <v>67.741935483870961</v>
      </c>
      <c r="AT25" s="112" t="s">
        <v>199</v>
      </c>
      <c r="AU25" s="122">
        <v>14</v>
      </c>
      <c r="AV25" s="122">
        <v>5</v>
      </c>
      <c r="AW25" s="5">
        <f t="shared" si="19"/>
        <v>19</v>
      </c>
      <c r="AX25" s="122">
        <v>10</v>
      </c>
      <c r="AY25" s="122">
        <v>0</v>
      </c>
      <c r="AZ25" s="5">
        <f t="shared" si="20"/>
        <v>9</v>
      </c>
      <c r="BA25" s="122">
        <v>0</v>
      </c>
      <c r="BB25" s="128">
        <f t="shared" si="99"/>
        <v>52.631578947368418</v>
      </c>
      <c r="BC25" s="1" t="s">
        <v>75</v>
      </c>
      <c r="BD25" s="41">
        <v>39</v>
      </c>
      <c r="BE25" s="41">
        <v>0</v>
      </c>
      <c r="BF25" s="5">
        <f t="shared" si="22"/>
        <v>39</v>
      </c>
      <c r="BG25" s="41">
        <v>2</v>
      </c>
      <c r="BH25" s="41">
        <v>0</v>
      </c>
      <c r="BI25" s="5">
        <f t="shared" si="23"/>
        <v>37</v>
      </c>
      <c r="BJ25" s="41">
        <v>0</v>
      </c>
      <c r="BK25" s="42">
        <f t="shared" si="24"/>
        <v>5.1282051282051277</v>
      </c>
      <c r="BL25" t="s">
        <v>75</v>
      </c>
      <c r="BM25" s="41">
        <v>54</v>
      </c>
      <c r="BN25" s="41">
        <v>0</v>
      </c>
      <c r="BO25" s="5">
        <f t="shared" si="25"/>
        <v>54</v>
      </c>
      <c r="BP25" s="41">
        <v>3</v>
      </c>
      <c r="BQ25" s="41">
        <v>0</v>
      </c>
      <c r="BR25" s="5">
        <f t="shared" si="26"/>
        <v>51</v>
      </c>
      <c r="BS25" s="41">
        <v>1</v>
      </c>
      <c r="BT25" s="45">
        <f t="shared" si="27"/>
        <v>5.5555555555555554</v>
      </c>
      <c r="BU25" t="s">
        <v>75</v>
      </c>
      <c r="BV25" s="41">
        <v>56</v>
      </c>
      <c r="BW25" s="41">
        <v>0</v>
      </c>
      <c r="BX25" s="5">
        <f t="shared" si="28"/>
        <v>56</v>
      </c>
      <c r="BY25" s="41">
        <v>35</v>
      </c>
      <c r="BZ25" s="41">
        <v>0</v>
      </c>
      <c r="CA25" s="5">
        <f t="shared" si="29"/>
        <v>21</v>
      </c>
      <c r="CB25" s="41">
        <v>1</v>
      </c>
      <c r="CC25" s="42">
        <f t="shared" si="98"/>
        <v>62.5</v>
      </c>
      <c r="CD25" s="11" t="s">
        <v>75</v>
      </c>
      <c r="CE25" s="50">
        <v>22</v>
      </c>
      <c r="CF25" s="50">
        <v>7</v>
      </c>
      <c r="CG25" s="76">
        <f t="shared" si="31"/>
        <v>29</v>
      </c>
      <c r="CH25" s="50">
        <v>21</v>
      </c>
      <c r="CI25" s="50">
        <v>0</v>
      </c>
      <c r="CJ25" s="76">
        <f t="shared" si="32"/>
        <v>8</v>
      </c>
      <c r="CK25" s="50">
        <v>0</v>
      </c>
      <c r="CL25" s="43">
        <f t="shared" si="33"/>
        <v>72.41379310344827</v>
      </c>
      <c r="CM25" s="11" t="s">
        <v>75</v>
      </c>
      <c r="CN25" s="50">
        <v>65</v>
      </c>
      <c r="CO25" s="50">
        <v>3</v>
      </c>
      <c r="CP25" s="76">
        <f t="shared" si="34"/>
        <v>68</v>
      </c>
      <c r="CQ25" s="50">
        <v>63</v>
      </c>
      <c r="CR25" s="50">
        <v>0</v>
      </c>
      <c r="CS25" s="76">
        <f t="shared" si="35"/>
        <v>5</v>
      </c>
      <c r="CT25" s="50">
        <v>0</v>
      </c>
      <c r="CU25" s="42">
        <f t="shared" si="36"/>
        <v>92.64705882352942</v>
      </c>
      <c r="CV25" s="11" t="s">
        <v>75</v>
      </c>
      <c r="CW25" s="50">
        <v>26</v>
      </c>
      <c r="CX25" s="50">
        <v>12</v>
      </c>
      <c r="CY25" s="76">
        <f t="shared" si="37"/>
        <v>38</v>
      </c>
      <c r="CZ25" s="50">
        <v>19</v>
      </c>
      <c r="DA25" s="50">
        <v>0</v>
      </c>
      <c r="DB25" s="76">
        <f t="shared" si="38"/>
        <v>19</v>
      </c>
      <c r="DC25" s="50">
        <v>0</v>
      </c>
      <c r="DD25" s="43">
        <f t="shared" si="39"/>
        <v>50</v>
      </c>
      <c r="DE25" s="68" t="s">
        <v>3</v>
      </c>
      <c r="DF25" s="39">
        <v>17</v>
      </c>
      <c r="DG25" s="39">
        <v>0</v>
      </c>
      <c r="DH25" s="55">
        <f t="shared" si="40"/>
        <v>17</v>
      </c>
      <c r="DI25" s="39">
        <v>4</v>
      </c>
      <c r="DJ25" s="39">
        <v>0</v>
      </c>
      <c r="DK25" s="55">
        <f t="shared" si="41"/>
        <v>13</v>
      </c>
      <c r="DL25" s="39">
        <v>5</v>
      </c>
      <c r="DM25" s="37">
        <f t="shared" si="42"/>
        <v>23.52941176470588</v>
      </c>
      <c r="DN25" t="s">
        <v>75</v>
      </c>
      <c r="DO25">
        <v>20</v>
      </c>
      <c r="DP25">
        <v>0</v>
      </c>
      <c r="DQ25">
        <f t="shared" si="43"/>
        <v>20</v>
      </c>
      <c r="DR25">
        <v>0</v>
      </c>
      <c r="DS25">
        <v>0</v>
      </c>
      <c r="DT25">
        <f t="shared" si="44"/>
        <v>20</v>
      </c>
      <c r="DU25">
        <v>12</v>
      </c>
      <c r="DV25" s="11">
        <f t="shared" si="45"/>
        <v>0</v>
      </c>
      <c r="DW25" t="s">
        <v>75</v>
      </c>
      <c r="DX25">
        <v>15</v>
      </c>
      <c r="DY25">
        <v>0</v>
      </c>
      <c r="DZ25" s="55">
        <f t="shared" si="46"/>
        <v>15</v>
      </c>
      <c r="EA25">
        <v>12</v>
      </c>
      <c r="EB25">
        <v>0</v>
      </c>
      <c r="EC25" s="55">
        <f t="shared" si="47"/>
        <v>3</v>
      </c>
      <c r="ED25">
        <v>3</v>
      </c>
      <c r="EE25" s="11">
        <f t="shared" si="95"/>
        <v>80</v>
      </c>
      <c r="EF25" s="44" t="s">
        <v>75</v>
      </c>
      <c r="EG25" s="50">
        <v>13</v>
      </c>
      <c r="EH25" s="50">
        <v>1</v>
      </c>
      <c r="EI25" s="34">
        <f t="shared" si="49"/>
        <v>14</v>
      </c>
      <c r="EJ25" s="50">
        <v>10</v>
      </c>
      <c r="EK25" s="50">
        <v>0</v>
      </c>
      <c r="EL25" s="34">
        <f t="shared" si="50"/>
        <v>4</v>
      </c>
      <c r="EM25" s="50">
        <v>1</v>
      </c>
      <c r="EN25" s="42">
        <f t="shared" si="91"/>
        <v>71.428571428571431</v>
      </c>
      <c r="EO25" s="44" t="s">
        <v>75</v>
      </c>
      <c r="EP25" s="50">
        <v>7</v>
      </c>
      <c r="EQ25" s="50">
        <v>0</v>
      </c>
      <c r="ER25" s="34">
        <f t="shared" si="52"/>
        <v>7</v>
      </c>
      <c r="ES25" s="50">
        <v>7</v>
      </c>
      <c r="ET25" s="50">
        <v>0</v>
      </c>
      <c r="EU25" s="34">
        <f t="shared" si="53"/>
        <v>0</v>
      </c>
      <c r="EV25" s="50">
        <v>1</v>
      </c>
      <c r="EW25" s="54">
        <f t="shared" si="92"/>
        <v>100</v>
      </c>
      <c r="EX25" s="44" t="s">
        <v>75</v>
      </c>
      <c r="EY25" s="50">
        <v>19</v>
      </c>
      <c r="EZ25" s="50">
        <v>4</v>
      </c>
      <c r="FA25" s="56">
        <f t="shared" si="55"/>
        <v>23</v>
      </c>
      <c r="FB25" s="50">
        <v>17</v>
      </c>
      <c r="FC25" s="50">
        <v>0</v>
      </c>
      <c r="FD25" s="56">
        <f t="shared" si="56"/>
        <v>6</v>
      </c>
      <c r="FE25" s="50">
        <v>2</v>
      </c>
      <c r="FF25" s="42">
        <f t="shared" si="93"/>
        <v>73.91304347826086</v>
      </c>
      <c r="FG25" s="93" t="s">
        <v>184</v>
      </c>
      <c r="FH25" s="39">
        <v>32</v>
      </c>
      <c r="FI25" s="39">
        <v>0</v>
      </c>
      <c r="FJ25" s="7">
        <f t="shared" si="58"/>
        <v>32</v>
      </c>
      <c r="FK25" s="39">
        <v>1</v>
      </c>
      <c r="FL25" s="39">
        <v>0</v>
      </c>
      <c r="FM25" s="7">
        <f t="shared" si="59"/>
        <v>31</v>
      </c>
      <c r="FN25" s="39">
        <v>23</v>
      </c>
      <c r="FO25" s="37">
        <f t="shared" si="0"/>
        <v>3.125</v>
      </c>
      <c r="FY25" s="5" t="s">
        <v>178</v>
      </c>
      <c r="FZ25" s="5">
        <v>34</v>
      </c>
      <c r="GA25" s="5">
        <v>0</v>
      </c>
      <c r="GB25" s="90">
        <f t="shared" si="63"/>
        <v>34</v>
      </c>
      <c r="GC25" s="5">
        <v>11</v>
      </c>
      <c r="GD25" s="5">
        <v>0</v>
      </c>
      <c r="GE25" s="90">
        <f t="shared" si="64"/>
        <v>23</v>
      </c>
      <c r="GF25" s="5">
        <v>15</v>
      </c>
      <c r="GG25" s="9">
        <f t="shared" si="1"/>
        <v>32.352941176470587</v>
      </c>
      <c r="GH25" s="133" t="s">
        <v>202</v>
      </c>
      <c r="GI25" s="134">
        <v>26</v>
      </c>
      <c r="GJ25" s="134">
        <v>6</v>
      </c>
      <c r="GK25" s="39">
        <f t="shared" si="65"/>
        <v>32</v>
      </c>
      <c r="GL25" s="134">
        <v>23</v>
      </c>
      <c r="GM25" s="134">
        <v>0</v>
      </c>
      <c r="GN25" s="39">
        <f t="shared" si="66"/>
        <v>9</v>
      </c>
      <c r="GO25" s="134">
        <v>1</v>
      </c>
      <c r="GP25" s="136">
        <f t="shared" si="67"/>
        <v>71.875</v>
      </c>
      <c r="GQ25" s="133" t="s">
        <v>202</v>
      </c>
      <c r="GR25" s="134">
        <v>60</v>
      </c>
      <c r="GS25" s="134">
        <v>6</v>
      </c>
      <c r="GT25" s="64">
        <f t="shared" si="68"/>
        <v>66</v>
      </c>
      <c r="GU25" s="134">
        <v>52</v>
      </c>
      <c r="GV25" s="134">
        <v>0</v>
      </c>
      <c r="GW25" s="64">
        <f t="shared" si="69"/>
        <v>14</v>
      </c>
      <c r="GX25" s="134">
        <v>3</v>
      </c>
      <c r="GY25" s="135">
        <f t="shared" si="70"/>
        <v>78.787878787878782</v>
      </c>
      <c r="HH25" s="17"/>
      <c r="HI25" s="39" t="s">
        <v>75</v>
      </c>
      <c r="HJ25" s="39">
        <v>18</v>
      </c>
      <c r="HK25" s="39">
        <v>0</v>
      </c>
      <c r="HL25" s="3">
        <f t="shared" si="73"/>
        <v>18</v>
      </c>
      <c r="HM25" s="39">
        <v>7</v>
      </c>
      <c r="HN25" s="39">
        <v>0</v>
      </c>
      <c r="HO25" s="3">
        <f t="shared" si="74"/>
        <v>11</v>
      </c>
      <c r="HP25" s="39">
        <v>8</v>
      </c>
      <c r="HQ25" s="40">
        <f t="shared" si="3"/>
        <v>38.888888888888893</v>
      </c>
      <c r="HR25" s="39" t="s">
        <v>75</v>
      </c>
      <c r="HS25" s="81">
        <v>27</v>
      </c>
      <c r="HT25" s="81">
        <v>0</v>
      </c>
      <c r="HU25" s="3">
        <f t="shared" si="75"/>
        <v>27</v>
      </c>
      <c r="HV25" s="81">
        <v>13</v>
      </c>
      <c r="HW25" s="81">
        <v>0</v>
      </c>
      <c r="HX25" s="3">
        <f t="shared" si="76"/>
        <v>14</v>
      </c>
      <c r="HY25" s="81">
        <v>8</v>
      </c>
      <c r="HZ25" s="40">
        <f t="shared" si="77"/>
        <v>48.148148148148145</v>
      </c>
      <c r="IA25" s="101" t="s">
        <v>191</v>
      </c>
      <c r="IB25" s="98">
        <v>20</v>
      </c>
      <c r="IC25" s="98">
        <v>0</v>
      </c>
      <c r="ID25" s="3">
        <f t="shared" si="78"/>
        <v>20</v>
      </c>
      <c r="IE25" s="98">
        <v>10</v>
      </c>
      <c r="IF25" s="98">
        <v>0</v>
      </c>
      <c r="IG25" s="3">
        <f t="shared" si="79"/>
        <v>10</v>
      </c>
      <c r="IH25" s="98">
        <v>15</v>
      </c>
      <c r="II25" s="36">
        <f t="shared" ref="II25:II33" si="102">(IE25/IB25)*100</f>
        <v>50</v>
      </c>
      <c r="IJ25" s="39" t="s">
        <v>75</v>
      </c>
      <c r="IK25" s="7">
        <v>21</v>
      </c>
      <c r="IL25" s="7">
        <v>6</v>
      </c>
      <c r="IM25" s="3">
        <f t="shared" si="81"/>
        <v>27</v>
      </c>
      <c r="IN25" s="7">
        <v>15</v>
      </c>
      <c r="IO25" s="7">
        <v>1</v>
      </c>
      <c r="IP25" s="3">
        <f t="shared" si="82"/>
        <v>12</v>
      </c>
      <c r="IQ25" s="7">
        <v>3</v>
      </c>
      <c r="IR25" s="46">
        <f t="shared" si="83"/>
        <v>55.555555555555557</v>
      </c>
      <c r="IS25" s="39" t="s">
        <v>75</v>
      </c>
      <c r="IT25" s="39">
        <v>20</v>
      </c>
      <c r="IU25" s="39">
        <v>1</v>
      </c>
      <c r="IV25" s="3">
        <f t="shared" si="84"/>
        <v>21</v>
      </c>
      <c r="IW25" s="39">
        <v>16</v>
      </c>
      <c r="IX25" s="39">
        <v>0</v>
      </c>
      <c r="IY25" s="3">
        <f t="shared" si="85"/>
        <v>5</v>
      </c>
      <c r="IZ25" s="39">
        <v>2</v>
      </c>
      <c r="JA25" s="40">
        <f t="shared" si="86"/>
        <v>76.19047619047619</v>
      </c>
      <c r="JB25" s="101" t="s">
        <v>193</v>
      </c>
      <c r="JC25" s="98">
        <v>20</v>
      </c>
      <c r="JD25" s="98">
        <v>4</v>
      </c>
      <c r="JE25" s="5">
        <f t="shared" si="87"/>
        <v>24</v>
      </c>
      <c r="JF25" s="98">
        <v>11</v>
      </c>
      <c r="JG25" s="98">
        <v>0</v>
      </c>
      <c r="JH25" s="5">
        <f t="shared" si="88"/>
        <v>13</v>
      </c>
      <c r="JI25" s="98">
        <v>3</v>
      </c>
      <c r="JJ25" s="36">
        <f t="shared" si="100"/>
        <v>55.000000000000007</v>
      </c>
    </row>
    <row r="26" spans="1:270" x14ac:dyDescent="0.2">
      <c r="A26" s="1" t="s">
        <v>0</v>
      </c>
      <c r="B26" s="75">
        <v>31</v>
      </c>
      <c r="C26" s="76">
        <v>0</v>
      </c>
      <c r="D26" s="72">
        <f t="shared" si="4"/>
        <v>31</v>
      </c>
      <c r="E26" s="76">
        <v>4</v>
      </c>
      <c r="F26" s="76">
        <v>0</v>
      </c>
      <c r="G26" s="72">
        <f t="shared" si="5"/>
        <v>27</v>
      </c>
      <c r="H26" s="76">
        <v>10</v>
      </c>
      <c r="I26" s="13">
        <f t="shared" si="97"/>
        <v>12.903225806451612</v>
      </c>
      <c r="J26" s="1" t="s">
        <v>75</v>
      </c>
      <c r="K26" s="81">
        <v>42</v>
      </c>
      <c r="L26" s="81">
        <v>0</v>
      </c>
      <c r="M26" s="10">
        <f t="shared" si="7"/>
        <v>42</v>
      </c>
      <c r="N26" s="81">
        <v>18</v>
      </c>
      <c r="O26" s="81">
        <v>0</v>
      </c>
      <c r="P26" s="74">
        <f t="shared" si="8"/>
        <v>24</v>
      </c>
      <c r="Q26" s="130">
        <v>6</v>
      </c>
      <c r="R26" s="8">
        <f t="shared" si="101"/>
        <v>42.857142857142854</v>
      </c>
      <c r="S26" s="1" t="s">
        <v>1</v>
      </c>
      <c r="T26" s="3">
        <v>22</v>
      </c>
      <c r="U26" s="3">
        <v>0</v>
      </c>
      <c r="V26" s="10">
        <f t="shared" si="10"/>
        <v>22</v>
      </c>
      <c r="W26" s="3">
        <v>7</v>
      </c>
      <c r="X26" s="3">
        <v>0</v>
      </c>
      <c r="Y26" s="74">
        <f t="shared" si="11"/>
        <v>15</v>
      </c>
      <c r="Z26" s="3">
        <v>9</v>
      </c>
      <c r="AA26" s="4">
        <f t="shared" si="96"/>
        <v>31.818181818181817</v>
      </c>
      <c r="AB26" t="s">
        <v>75</v>
      </c>
      <c r="AC26" s="7">
        <v>16</v>
      </c>
      <c r="AD26" s="7">
        <v>4</v>
      </c>
      <c r="AE26" s="76">
        <f t="shared" si="13"/>
        <v>20</v>
      </c>
      <c r="AF26" s="7">
        <v>17</v>
      </c>
      <c r="AG26" s="7">
        <v>0</v>
      </c>
      <c r="AH26" s="76">
        <f t="shared" si="14"/>
        <v>3</v>
      </c>
      <c r="AI26" s="7">
        <v>1</v>
      </c>
      <c r="AJ26" s="48">
        <f t="shared" si="15"/>
        <v>85</v>
      </c>
      <c r="AK26" t="s">
        <v>75</v>
      </c>
      <c r="AL26" s="7">
        <v>25</v>
      </c>
      <c r="AM26" s="7">
        <v>26</v>
      </c>
      <c r="AN26" s="5">
        <f t="shared" si="16"/>
        <v>51</v>
      </c>
      <c r="AO26" s="7">
        <v>24</v>
      </c>
      <c r="AP26" s="7">
        <v>0</v>
      </c>
      <c r="AQ26" s="5">
        <f t="shared" si="17"/>
        <v>27</v>
      </c>
      <c r="AR26" s="7">
        <v>3</v>
      </c>
      <c r="AS26" s="8">
        <f t="shared" si="18"/>
        <v>47.058823529411761</v>
      </c>
      <c r="AT26" s="112" t="s">
        <v>199</v>
      </c>
      <c r="AU26" s="122">
        <v>25</v>
      </c>
      <c r="AV26" s="122">
        <v>6</v>
      </c>
      <c r="AW26" s="5">
        <f t="shared" si="19"/>
        <v>31</v>
      </c>
      <c r="AX26" s="122">
        <v>23</v>
      </c>
      <c r="AY26" s="122">
        <v>0</v>
      </c>
      <c r="AZ26" s="5">
        <f t="shared" si="20"/>
        <v>8</v>
      </c>
      <c r="BA26" s="122">
        <v>4</v>
      </c>
      <c r="BB26" s="128">
        <f t="shared" si="99"/>
        <v>74.193548387096769</v>
      </c>
      <c r="BC26" s="1" t="s">
        <v>75</v>
      </c>
      <c r="BD26" s="41">
        <v>27</v>
      </c>
      <c r="BE26" s="41">
        <v>0</v>
      </c>
      <c r="BF26" s="5">
        <f t="shared" si="22"/>
        <v>27</v>
      </c>
      <c r="BG26" s="41">
        <v>0</v>
      </c>
      <c r="BH26" s="41">
        <v>0</v>
      </c>
      <c r="BI26" s="5">
        <f t="shared" si="23"/>
        <v>27</v>
      </c>
      <c r="BJ26" s="41">
        <v>0</v>
      </c>
      <c r="BK26" s="42">
        <f t="shared" si="24"/>
        <v>0</v>
      </c>
      <c r="BL26" t="s">
        <v>75</v>
      </c>
      <c r="BM26" s="41">
        <v>45</v>
      </c>
      <c r="BN26" s="41">
        <v>0</v>
      </c>
      <c r="BO26" s="5">
        <f t="shared" si="25"/>
        <v>45</v>
      </c>
      <c r="BP26" s="41">
        <v>0</v>
      </c>
      <c r="BQ26" s="41">
        <v>0</v>
      </c>
      <c r="BR26" s="5">
        <f t="shared" si="26"/>
        <v>45</v>
      </c>
      <c r="BS26" s="41">
        <v>0</v>
      </c>
      <c r="BT26" s="45">
        <f t="shared" si="27"/>
        <v>0</v>
      </c>
      <c r="BU26" t="s">
        <v>75</v>
      </c>
      <c r="BV26" s="41">
        <v>52</v>
      </c>
      <c r="BW26" s="41">
        <v>0</v>
      </c>
      <c r="BX26" s="5">
        <f t="shared" si="28"/>
        <v>52</v>
      </c>
      <c r="BY26" s="41">
        <v>28</v>
      </c>
      <c r="BZ26" s="41">
        <v>0</v>
      </c>
      <c r="CA26" s="5">
        <f t="shared" si="29"/>
        <v>24</v>
      </c>
      <c r="CB26" s="41">
        <v>1</v>
      </c>
      <c r="CC26" s="42">
        <f t="shared" si="98"/>
        <v>53.846153846153847</v>
      </c>
      <c r="CD26" s="11" t="s">
        <v>75</v>
      </c>
      <c r="CE26" s="50">
        <v>30</v>
      </c>
      <c r="CF26" s="50">
        <v>18</v>
      </c>
      <c r="CG26" s="76">
        <f t="shared" si="31"/>
        <v>48</v>
      </c>
      <c r="CH26" s="50">
        <v>29</v>
      </c>
      <c r="CI26" s="50">
        <v>0</v>
      </c>
      <c r="CJ26" s="76">
        <f t="shared" si="32"/>
        <v>19</v>
      </c>
      <c r="CK26" s="50">
        <v>0</v>
      </c>
      <c r="CL26" s="43">
        <f t="shared" si="33"/>
        <v>60.416666666666664</v>
      </c>
      <c r="CM26" s="11" t="s">
        <v>75</v>
      </c>
      <c r="CN26" s="50">
        <v>53</v>
      </c>
      <c r="CO26" s="50">
        <v>3</v>
      </c>
      <c r="CP26" s="76">
        <f t="shared" si="34"/>
        <v>56</v>
      </c>
      <c r="CQ26" s="50">
        <v>52</v>
      </c>
      <c r="CR26" s="50">
        <v>0</v>
      </c>
      <c r="CS26" s="76">
        <f t="shared" si="35"/>
        <v>4</v>
      </c>
      <c r="CT26" s="50">
        <v>0</v>
      </c>
      <c r="CU26" s="42">
        <f t="shared" si="36"/>
        <v>92.857142857142861</v>
      </c>
      <c r="CV26" s="11" t="s">
        <v>75</v>
      </c>
      <c r="CW26" s="50">
        <v>26</v>
      </c>
      <c r="CX26" s="50">
        <v>34</v>
      </c>
      <c r="CY26" s="76">
        <f t="shared" si="37"/>
        <v>60</v>
      </c>
      <c r="CZ26" s="50">
        <v>14</v>
      </c>
      <c r="DA26" s="50">
        <v>0</v>
      </c>
      <c r="DB26" s="76">
        <f t="shared" si="38"/>
        <v>46</v>
      </c>
      <c r="DC26" s="50">
        <v>0</v>
      </c>
      <c r="DD26" s="43">
        <f t="shared" si="39"/>
        <v>23.333333333333332</v>
      </c>
      <c r="DE26" s="68" t="s">
        <v>3</v>
      </c>
      <c r="DF26" s="39">
        <v>21</v>
      </c>
      <c r="DG26" s="39">
        <v>0</v>
      </c>
      <c r="DH26" s="55">
        <f t="shared" si="40"/>
        <v>21</v>
      </c>
      <c r="DI26" s="39">
        <v>7</v>
      </c>
      <c r="DJ26" s="39">
        <v>0</v>
      </c>
      <c r="DK26" s="55">
        <f t="shared" si="41"/>
        <v>14</v>
      </c>
      <c r="DL26" s="39">
        <v>10</v>
      </c>
      <c r="DM26" s="37">
        <f t="shared" si="42"/>
        <v>33.333333333333329</v>
      </c>
      <c r="DN26" t="s">
        <v>75</v>
      </c>
      <c r="DO26">
        <v>19</v>
      </c>
      <c r="DP26">
        <v>0</v>
      </c>
      <c r="DQ26">
        <f t="shared" si="43"/>
        <v>19</v>
      </c>
      <c r="DR26">
        <v>5</v>
      </c>
      <c r="DS26">
        <v>0</v>
      </c>
      <c r="DT26">
        <f t="shared" si="44"/>
        <v>14</v>
      </c>
      <c r="DU26">
        <v>15</v>
      </c>
      <c r="DV26" s="11">
        <f t="shared" si="45"/>
        <v>26.315789473684209</v>
      </c>
      <c r="DW26" t="s">
        <v>75</v>
      </c>
      <c r="DX26">
        <v>10</v>
      </c>
      <c r="DY26">
        <v>0</v>
      </c>
      <c r="DZ26" s="55">
        <f t="shared" si="46"/>
        <v>10</v>
      </c>
      <c r="EA26">
        <v>7</v>
      </c>
      <c r="EB26">
        <v>0</v>
      </c>
      <c r="EC26" s="55">
        <f t="shared" si="47"/>
        <v>3</v>
      </c>
      <c r="ED26">
        <v>2</v>
      </c>
      <c r="EE26" s="11">
        <f t="shared" si="95"/>
        <v>70</v>
      </c>
      <c r="EF26" s="44" t="s">
        <v>75</v>
      </c>
      <c r="EG26" s="50">
        <v>17</v>
      </c>
      <c r="EH26" s="50">
        <v>2</v>
      </c>
      <c r="EI26" s="34">
        <f t="shared" si="49"/>
        <v>19</v>
      </c>
      <c r="EJ26" s="50">
        <v>12</v>
      </c>
      <c r="EK26" s="50">
        <v>0</v>
      </c>
      <c r="EL26" s="34">
        <f t="shared" si="50"/>
        <v>7</v>
      </c>
      <c r="EM26" s="50">
        <v>0</v>
      </c>
      <c r="EN26" s="42">
        <f t="shared" si="91"/>
        <v>63.157894736842103</v>
      </c>
      <c r="EO26" s="44" t="s">
        <v>75</v>
      </c>
      <c r="EP26" s="50">
        <v>12</v>
      </c>
      <c r="EQ26" s="50">
        <v>0</v>
      </c>
      <c r="ER26" s="34">
        <f t="shared" si="52"/>
        <v>12</v>
      </c>
      <c r="ES26" s="50">
        <v>9</v>
      </c>
      <c r="ET26" s="50">
        <v>0</v>
      </c>
      <c r="EU26" s="34">
        <f t="shared" si="53"/>
        <v>3</v>
      </c>
      <c r="EV26" s="50">
        <v>0</v>
      </c>
      <c r="EW26" s="54">
        <f t="shared" si="92"/>
        <v>75</v>
      </c>
      <c r="EX26" s="44" t="s">
        <v>75</v>
      </c>
      <c r="EY26" s="50">
        <v>10</v>
      </c>
      <c r="EZ26" s="50">
        <v>4</v>
      </c>
      <c r="FA26" s="56">
        <f t="shared" si="55"/>
        <v>14</v>
      </c>
      <c r="FB26" s="50">
        <v>6</v>
      </c>
      <c r="FC26" s="50">
        <v>0</v>
      </c>
      <c r="FD26" s="56">
        <f t="shared" si="56"/>
        <v>8</v>
      </c>
      <c r="FE26" s="50">
        <v>0</v>
      </c>
      <c r="FF26" s="42">
        <f t="shared" si="93"/>
        <v>42.857142857142854</v>
      </c>
      <c r="FG26" s="93" t="s">
        <v>185</v>
      </c>
      <c r="FH26" s="39">
        <v>32</v>
      </c>
      <c r="FI26" s="39">
        <v>0</v>
      </c>
      <c r="FJ26" s="7">
        <f t="shared" si="58"/>
        <v>32</v>
      </c>
      <c r="FK26" s="39">
        <v>1</v>
      </c>
      <c r="FL26" s="39">
        <v>0</v>
      </c>
      <c r="FM26" s="7">
        <f t="shared" si="59"/>
        <v>31</v>
      </c>
      <c r="FN26" s="39">
        <v>20</v>
      </c>
      <c r="FO26" s="37">
        <f t="shared" si="0"/>
        <v>3.125</v>
      </c>
      <c r="FP26" s="1"/>
      <c r="FQ26" s="80"/>
      <c r="FT26" s="80"/>
      <c r="FW26" s="80"/>
      <c r="FX26" s="11"/>
      <c r="FY26" s="5" t="s">
        <v>178</v>
      </c>
      <c r="FZ26" s="5">
        <v>30</v>
      </c>
      <c r="GA26" s="5">
        <v>0</v>
      </c>
      <c r="GB26" s="90">
        <f t="shared" si="63"/>
        <v>30</v>
      </c>
      <c r="GC26" s="5">
        <v>5</v>
      </c>
      <c r="GD26" s="5">
        <v>0</v>
      </c>
      <c r="GE26" s="90">
        <f t="shared" si="64"/>
        <v>25</v>
      </c>
      <c r="GF26" s="5">
        <v>18</v>
      </c>
      <c r="GG26" s="9">
        <f t="shared" si="1"/>
        <v>16.666666666666664</v>
      </c>
      <c r="GH26" s="133" t="s">
        <v>202</v>
      </c>
      <c r="GI26" s="134">
        <v>19</v>
      </c>
      <c r="GJ26" s="134">
        <v>8</v>
      </c>
      <c r="GK26" s="39">
        <f t="shared" si="65"/>
        <v>27</v>
      </c>
      <c r="GL26" s="134">
        <v>12</v>
      </c>
      <c r="GM26" s="134">
        <v>0</v>
      </c>
      <c r="GN26" s="39">
        <f t="shared" si="66"/>
        <v>15</v>
      </c>
      <c r="GO26" s="134">
        <v>1</v>
      </c>
      <c r="GP26" s="136">
        <f t="shared" si="67"/>
        <v>44.444444444444443</v>
      </c>
      <c r="GQ26" s="133" t="s">
        <v>202</v>
      </c>
      <c r="GR26" s="134">
        <v>60</v>
      </c>
      <c r="GS26" s="134">
        <v>5</v>
      </c>
      <c r="GT26" s="64">
        <f t="shared" si="68"/>
        <v>65</v>
      </c>
      <c r="GU26" s="134">
        <v>50</v>
      </c>
      <c r="GV26" s="134">
        <v>0</v>
      </c>
      <c r="GW26" s="64">
        <f t="shared" si="69"/>
        <v>15</v>
      </c>
      <c r="GX26" s="134">
        <v>3</v>
      </c>
      <c r="GY26" s="135">
        <f t="shared" si="70"/>
        <v>76.923076923076934</v>
      </c>
      <c r="HI26" s="39" t="s">
        <v>75</v>
      </c>
      <c r="HJ26" s="39">
        <v>26</v>
      </c>
      <c r="HK26" s="39">
        <v>0</v>
      </c>
      <c r="HL26" s="3">
        <f t="shared" si="73"/>
        <v>26</v>
      </c>
      <c r="HM26" s="39">
        <v>6</v>
      </c>
      <c r="HN26" s="39">
        <v>0</v>
      </c>
      <c r="HO26" s="3">
        <f t="shared" si="74"/>
        <v>20</v>
      </c>
      <c r="HP26" s="39">
        <v>6</v>
      </c>
      <c r="HQ26" s="40">
        <f t="shared" si="3"/>
        <v>23.076923076923077</v>
      </c>
      <c r="HR26" s="39" t="s">
        <v>75</v>
      </c>
      <c r="HS26" s="81">
        <v>25</v>
      </c>
      <c r="HT26" s="81">
        <v>0</v>
      </c>
      <c r="HU26" s="3">
        <f t="shared" si="75"/>
        <v>25</v>
      </c>
      <c r="HV26" s="81">
        <v>15</v>
      </c>
      <c r="HW26" s="81">
        <v>0</v>
      </c>
      <c r="HX26" s="3">
        <f t="shared" si="76"/>
        <v>10</v>
      </c>
      <c r="HY26" s="81">
        <v>7</v>
      </c>
      <c r="HZ26" s="40">
        <f t="shared" si="77"/>
        <v>60</v>
      </c>
      <c r="IA26" s="101" t="s">
        <v>192</v>
      </c>
      <c r="IB26" s="98">
        <v>19</v>
      </c>
      <c r="IC26" s="98">
        <v>0</v>
      </c>
      <c r="ID26" s="3">
        <f t="shared" si="78"/>
        <v>19</v>
      </c>
      <c r="IE26" s="98">
        <v>8</v>
      </c>
      <c r="IF26" s="98">
        <v>0</v>
      </c>
      <c r="IG26" s="3">
        <f t="shared" si="79"/>
        <v>11</v>
      </c>
      <c r="IH26" s="98">
        <v>5</v>
      </c>
      <c r="II26" s="36">
        <f t="shared" si="102"/>
        <v>42.105263157894733</v>
      </c>
      <c r="IJ26" s="39" t="s">
        <v>75</v>
      </c>
      <c r="IK26" s="7">
        <v>28</v>
      </c>
      <c r="IL26" s="7">
        <v>4</v>
      </c>
      <c r="IM26" s="3">
        <f t="shared" si="81"/>
        <v>32</v>
      </c>
      <c r="IN26" s="7">
        <v>18</v>
      </c>
      <c r="IO26" s="7">
        <v>4</v>
      </c>
      <c r="IP26" s="3">
        <f t="shared" si="82"/>
        <v>14</v>
      </c>
      <c r="IQ26" s="7">
        <v>1</v>
      </c>
      <c r="IR26" s="46">
        <f t="shared" si="83"/>
        <v>56.25</v>
      </c>
      <c r="IS26" s="103" t="s">
        <v>202</v>
      </c>
      <c r="IT26" s="104">
        <v>15</v>
      </c>
      <c r="IU26" s="104">
        <v>3</v>
      </c>
      <c r="IV26" s="3">
        <f t="shared" si="84"/>
        <v>18</v>
      </c>
      <c r="IW26" s="104">
        <v>13</v>
      </c>
      <c r="IX26" s="104">
        <v>0</v>
      </c>
      <c r="IY26" s="3">
        <f t="shared" si="85"/>
        <v>5</v>
      </c>
      <c r="IZ26" s="104">
        <v>5</v>
      </c>
      <c r="JA26" s="40">
        <f t="shared" si="86"/>
        <v>72.222222222222214</v>
      </c>
      <c r="JB26" s="101" t="s">
        <v>194</v>
      </c>
      <c r="JC26" s="98">
        <v>17</v>
      </c>
      <c r="JD26" s="98">
        <v>2</v>
      </c>
      <c r="JE26" s="5">
        <f t="shared" si="87"/>
        <v>19</v>
      </c>
      <c r="JF26" s="98">
        <v>14</v>
      </c>
      <c r="JG26" s="98">
        <v>0</v>
      </c>
      <c r="JH26" s="5">
        <f t="shared" si="88"/>
        <v>5</v>
      </c>
      <c r="JI26" s="98">
        <v>2</v>
      </c>
      <c r="JJ26" s="36">
        <f t="shared" si="100"/>
        <v>82.35294117647058</v>
      </c>
    </row>
    <row r="27" spans="1:270" x14ac:dyDescent="0.2">
      <c r="A27" s="1" t="s">
        <v>0</v>
      </c>
      <c r="B27" s="75">
        <v>23</v>
      </c>
      <c r="C27" s="76">
        <v>0</v>
      </c>
      <c r="D27" s="72">
        <f t="shared" si="4"/>
        <v>23</v>
      </c>
      <c r="E27" s="76">
        <v>4</v>
      </c>
      <c r="F27" s="76">
        <v>0</v>
      </c>
      <c r="G27" s="72">
        <f t="shared" si="5"/>
        <v>19</v>
      </c>
      <c r="H27" s="76">
        <v>6</v>
      </c>
      <c r="I27" s="13">
        <f t="shared" si="97"/>
        <v>17.391304347826086</v>
      </c>
      <c r="J27" s="1" t="s">
        <v>75</v>
      </c>
      <c r="K27" s="81">
        <v>50</v>
      </c>
      <c r="L27" s="81">
        <v>0</v>
      </c>
      <c r="M27" s="10">
        <f t="shared" si="7"/>
        <v>50</v>
      </c>
      <c r="N27" s="81">
        <v>13</v>
      </c>
      <c r="O27" s="81">
        <v>0</v>
      </c>
      <c r="P27" s="74">
        <f t="shared" si="8"/>
        <v>37</v>
      </c>
      <c r="Q27" s="130">
        <v>8</v>
      </c>
      <c r="R27" s="8">
        <f t="shared" si="101"/>
        <v>26</v>
      </c>
      <c r="S27" s="1" t="s">
        <v>1</v>
      </c>
      <c r="T27" s="3">
        <v>27</v>
      </c>
      <c r="U27" s="3">
        <v>0</v>
      </c>
      <c r="V27" s="10">
        <f t="shared" si="10"/>
        <v>27</v>
      </c>
      <c r="W27" s="3">
        <v>10</v>
      </c>
      <c r="X27" s="3">
        <v>0</v>
      </c>
      <c r="Y27" s="74">
        <f t="shared" si="11"/>
        <v>17</v>
      </c>
      <c r="Z27" s="3">
        <v>6</v>
      </c>
      <c r="AA27" s="4">
        <f t="shared" si="96"/>
        <v>37.037037037037038</v>
      </c>
      <c r="AB27" t="s">
        <v>75</v>
      </c>
      <c r="AC27" s="7">
        <v>23</v>
      </c>
      <c r="AD27" s="7">
        <v>2</v>
      </c>
      <c r="AE27" s="76">
        <f t="shared" si="13"/>
        <v>25</v>
      </c>
      <c r="AF27" s="7">
        <v>19</v>
      </c>
      <c r="AG27" s="7">
        <v>0</v>
      </c>
      <c r="AH27" s="76">
        <f t="shared" si="14"/>
        <v>6</v>
      </c>
      <c r="AI27" s="7">
        <v>2</v>
      </c>
      <c r="AJ27" s="48">
        <f t="shared" si="15"/>
        <v>76</v>
      </c>
      <c r="AK27" t="s">
        <v>75</v>
      </c>
      <c r="AL27" s="7">
        <v>28</v>
      </c>
      <c r="AM27" s="7">
        <v>12</v>
      </c>
      <c r="AN27" s="5">
        <f t="shared" si="16"/>
        <v>40</v>
      </c>
      <c r="AO27" s="7">
        <v>26</v>
      </c>
      <c r="AP27" s="7">
        <v>0</v>
      </c>
      <c r="AQ27" s="5">
        <f t="shared" si="17"/>
        <v>14</v>
      </c>
      <c r="AR27" s="7">
        <v>1</v>
      </c>
      <c r="AS27" s="8">
        <f t="shared" si="18"/>
        <v>65</v>
      </c>
      <c r="AT27" s="112" t="s">
        <v>199</v>
      </c>
      <c r="AU27" s="122">
        <v>25</v>
      </c>
      <c r="AV27" s="122">
        <v>6</v>
      </c>
      <c r="AW27" s="5">
        <f t="shared" si="19"/>
        <v>31</v>
      </c>
      <c r="AX27" s="122">
        <v>21</v>
      </c>
      <c r="AY27" s="122">
        <v>0</v>
      </c>
      <c r="AZ27" s="5">
        <f t="shared" si="20"/>
        <v>10</v>
      </c>
      <c r="BA27" s="122">
        <v>3</v>
      </c>
      <c r="BB27" s="128">
        <f t="shared" si="99"/>
        <v>67.741935483870961</v>
      </c>
      <c r="BK27" s="11"/>
      <c r="BL27" t="s">
        <v>75</v>
      </c>
      <c r="BM27" s="41">
        <v>41</v>
      </c>
      <c r="BN27" s="41">
        <v>0</v>
      </c>
      <c r="BO27" s="5">
        <f t="shared" si="25"/>
        <v>41</v>
      </c>
      <c r="BP27" s="41">
        <v>0</v>
      </c>
      <c r="BQ27" s="41">
        <v>0</v>
      </c>
      <c r="BR27" s="5">
        <f t="shared" si="26"/>
        <v>41</v>
      </c>
      <c r="BS27" s="41">
        <v>0</v>
      </c>
      <c r="BT27" s="45">
        <f t="shared" si="27"/>
        <v>0</v>
      </c>
      <c r="BU27" t="s">
        <v>75</v>
      </c>
      <c r="BV27" s="41">
        <v>61</v>
      </c>
      <c r="BW27" s="41">
        <v>0</v>
      </c>
      <c r="BX27" s="5">
        <f t="shared" si="28"/>
        <v>61</v>
      </c>
      <c r="BY27" s="41">
        <v>29</v>
      </c>
      <c r="BZ27" s="41">
        <v>0</v>
      </c>
      <c r="CA27" s="5">
        <f t="shared" si="29"/>
        <v>32</v>
      </c>
      <c r="CB27" s="41">
        <v>2</v>
      </c>
      <c r="CC27" s="42">
        <f t="shared" si="98"/>
        <v>47.540983606557376</v>
      </c>
      <c r="CD27" s="11" t="s">
        <v>75</v>
      </c>
      <c r="CE27" s="50">
        <v>44</v>
      </c>
      <c r="CF27" s="50">
        <v>19</v>
      </c>
      <c r="CG27" s="76">
        <f t="shared" si="31"/>
        <v>63</v>
      </c>
      <c r="CH27" s="50">
        <v>31</v>
      </c>
      <c r="CI27" s="50">
        <v>0</v>
      </c>
      <c r="CJ27" s="76">
        <f t="shared" si="32"/>
        <v>32</v>
      </c>
      <c r="CK27" s="50">
        <v>0</v>
      </c>
      <c r="CL27" s="43">
        <f t="shared" si="33"/>
        <v>49.206349206349202</v>
      </c>
      <c r="CM27" s="11" t="s">
        <v>75</v>
      </c>
      <c r="CN27" s="50">
        <v>60</v>
      </c>
      <c r="CO27" s="50">
        <v>4</v>
      </c>
      <c r="CP27" s="76">
        <f t="shared" si="34"/>
        <v>64</v>
      </c>
      <c r="CQ27" s="50">
        <v>58</v>
      </c>
      <c r="CR27" s="50">
        <v>0</v>
      </c>
      <c r="CS27" s="76">
        <f t="shared" si="35"/>
        <v>6</v>
      </c>
      <c r="CT27" s="50">
        <v>0</v>
      </c>
      <c r="CU27" s="42">
        <f t="shared" si="36"/>
        <v>90.625</v>
      </c>
      <c r="CV27" s="11" t="s">
        <v>75</v>
      </c>
      <c r="CW27" s="50">
        <v>33</v>
      </c>
      <c r="CX27" s="50">
        <v>15</v>
      </c>
      <c r="CY27" s="76">
        <f t="shared" si="37"/>
        <v>48</v>
      </c>
      <c r="CZ27" s="50">
        <v>26</v>
      </c>
      <c r="DA27" s="50">
        <v>0</v>
      </c>
      <c r="DB27" s="76">
        <f t="shared" si="38"/>
        <v>22</v>
      </c>
      <c r="DC27" s="50">
        <v>0</v>
      </c>
      <c r="DD27" s="43">
        <f t="shared" si="39"/>
        <v>54.166666666666664</v>
      </c>
      <c r="DE27" s="68" t="s">
        <v>3</v>
      </c>
      <c r="DF27" s="39">
        <v>12</v>
      </c>
      <c r="DG27" s="39">
        <v>0</v>
      </c>
      <c r="DH27" s="55">
        <f t="shared" si="40"/>
        <v>12</v>
      </c>
      <c r="DI27" s="39">
        <v>1</v>
      </c>
      <c r="DJ27" s="39">
        <v>0</v>
      </c>
      <c r="DK27" s="55">
        <f t="shared" si="41"/>
        <v>11</v>
      </c>
      <c r="DL27" s="39">
        <v>5</v>
      </c>
      <c r="DM27" s="37">
        <f t="shared" si="42"/>
        <v>8.3333333333333321</v>
      </c>
      <c r="DW27" t="s">
        <v>75</v>
      </c>
      <c r="DX27">
        <v>18</v>
      </c>
      <c r="DY27">
        <v>0</v>
      </c>
      <c r="DZ27" s="55">
        <f t="shared" si="46"/>
        <v>18</v>
      </c>
      <c r="EA27">
        <v>12</v>
      </c>
      <c r="EB27">
        <v>0</v>
      </c>
      <c r="EC27" s="55">
        <f t="shared" si="47"/>
        <v>6</v>
      </c>
      <c r="ED27">
        <v>1</v>
      </c>
      <c r="EE27" s="11">
        <f t="shared" si="95"/>
        <v>66.666666666666657</v>
      </c>
      <c r="EF27" s="44" t="s">
        <v>75</v>
      </c>
      <c r="EG27" s="50">
        <v>25</v>
      </c>
      <c r="EH27" s="50">
        <v>2</v>
      </c>
      <c r="EI27" s="34">
        <f t="shared" si="49"/>
        <v>27</v>
      </c>
      <c r="EJ27" s="50">
        <v>20</v>
      </c>
      <c r="EK27" s="50">
        <v>0</v>
      </c>
      <c r="EL27" s="34">
        <f t="shared" si="50"/>
        <v>7</v>
      </c>
      <c r="EM27" s="50">
        <v>2</v>
      </c>
      <c r="EN27" s="42">
        <f t="shared" si="91"/>
        <v>74.074074074074076</v>
      </c>
      <c r="EO27" s="44" t="s">
        <v>75</v>
      </c>
      <c r="EP27" s="50">
        <v>6</v>
      </c>
      <c r="EQ27" s="50">
        <v>0</v>
      </c>
      <c r="ER27" s="34">
        <f t="shared" si="52"/>
        <v>6</v>
      </c>
      <c r="ES27" s="50">
        <v>6</v>
      </c>
      <c r="ET27" s="50">
        <v>0</v>
      </c>
      <c r="EU27" s="34">
        <f t="shared" si="53"/>
        <v>0</v>
      </c>
      <c r="EV27" s="50">
        <v>1</v>
      </c>
      <c r="EW27" s="54">
        <f t="shared" si="92"/>
        <v>100</v>
      </c>
      <c r="EX27" s="44" t="s">
        <v>75</v>
      </c>
      <c r="EY27" s="50">
        <v>25</v>
      </c>
      <c r="EZ27" s="50">
        <v>4</v>
      </c>
      <c r="FA27" s="56">
        <f t="shared" si="55"/>
        <v>29</v>
      </c>
      <c r="FB27" s="50">
        <v>19</v>
      </c>
      <c r="FC27" s="50">
        <v>0</v>
      </c>
      <c r="FD27" s="56">
        <f t="shared" si="56"/>
        <v>10</v>
      </c>
      <c r="FE27" s="50">
        <v>1</v>
      </c>
      <c r="FF27" s="42">
        <f t="shared" si="93"/>
        <v>65.517241379310349</v>
      </c>
      <c r="FP27" s="1"/>
      <c r="FQ27" s="80"/>
      <c r="FT27" s="80"/>
      <c r="FW27" s="80"/>
      <c r="FX27" s="11"/>
      <c r="FY27" s="88" t="s">
        <v>179</v>
      </c>
      <c r="FZ27" s="88">
        <v>44</v>
      </c>
      <c r="GA27" s="88">
        <v>0</v>
      </c>
      <c r="GB27" s="90">
        <f t="shared" si="63"/>
        <v>44</v>
      </c>
      <c r="GC27" s="88">
        <v>4</v>
      </c>
      <c r="GD27" s="88">
        <v>0</v>
      </c>
      <c r="GE27" s="90">
        <f t="shared" si="64"/>
        <v>40</v>
      </c>
      <c r="GF27" s="88">
        <v>27</v>
      </c>
      <c r="GG27" s="89">
        <f t="shared" si="1"/>
        <v>9.0909090909090917</v>
      </c>
      <c r="GH27" s="133" t="s">
        <v>202</v>
      </c>
      <c r="GI27" s="134">
        <v>18</v>
      </c>
      <c r="GJ27" s="134">
        <v>4</v>
      </c>
      <c r="GK27" s="39">
        <f t="shared" si="65"/>
        <v>22</v>
      </c>
      <c r="GL27" s="134">
        <v>11</v>
      </c>
      <c r="GM27" s="134">
        <v>0</v>
      </c>
      <c r="GN27" s="39">
        <f t="shared" si="66"/>
        <v>11</v>
      </c>
      <c r="GO27" s="134">
        <v>0</v>
      </c>
      <c r="GP27" s="136">
        <f t="shared" si="67"/>
        <v>50</v>
      </c>
      <c r="GQ27" s="133" t="s">
        <v>202</v>
      </c>
      <c r="GR27" s="134">
        <v>47</v>
      </c>
      <c r="GS27" s="134">
        <v>8</v>
      </c>
      <c r="GT27" s="64">
        <f t="shared" si="68"/>
        <v>55</v>
      </c>
      <c r="GU27" s="134">
        <v>42</v>
      </c>
      <c r="GV27" s="134">
        <v>0</v>
      </c>
      <c r="GW27" s="64">
        <f t="shared" si="69"/>
        <v>13</v>
      </c>
      <c r="GX27" s="134">
        <v>1</v>
      </c>
      <c r="GY27" s="135">
        <f t="shared" si="70"/>
        <v>76.363636363636374</v>
      </c>
      <c r="HI27" s="39" t="s">
        <v>75</v>
      </c>
      <c r="HJ27" s="39">
        <v>40</v>
      </c>
      <c r="HK27" s="39">
        <v>0</v>
      </c>
      <c r="HL27" s="3">
        <f t="shared" si="73"/>
        <v>40</v>
      </c>
      <c r="HM27" s="39">
        <v>15</v>
      </c>
      <c r="HN27" s="39">
        <v>0</v>
      </c>
      <c r="HO27" s="3">
        <f t="shared" si="74"/>
        <v>25</v>
      </c>
      <c r="HP27" s="39">
        <v>12</v>
      </c>
      <c r="HQ27" s="40">
        <f t="shared" si="3"/>
        <v>37.5</v>
      </c>
      <c r="HR27" s="39" t="s">
        <v>75</v>
      </c>
      <c r="HS27" s="81">
        <v>25</v>
      </c>
      <c r="HT27" s="81">
        <v>0</v>
      </c>
      <c r="HU27" s="3">
        <f t="shared" si="75"/>
        <v>25</v>
      </c>
      <c r="HV27" s="81">
        <v>17</v>
      </c>
      <c r="HW27" s="81">
        <v>0</v>
      </c>
      <c r="HX27" s="3">
        <f t="shared" si="76"/>
        <v>8</v>
      </c>
      <c r="HY27" s="81">
        <v>13</v>
      </c>
      <c r="HZ27" s="40">
        <f t="shared" si="77"/>
        <v>68</v>
      </c>
      <c r="IA27" s="101" t="s">
        <v>193</v>
      </c>
      <c r="IB27" s="98">
        <v>20</v>
      </c>
      <c r="IC27" s="98">
        <v>0</v>
      </c>
      <c r="ID27" s="3">
        <f t="shared" si="78"/>
        <v>20</v>
      </c>
      <c r="IE27" s="98">
        <v>11</v>
      </c>
      <c r="IF27" s="98">
        <v>0</v>
      </c>
      <c r="IG27" s="3">
        <f t="shared" si="79"/>
        <v>9</v>
      </c>
      <c r="IH27" s="98">
        <v>14</v>
      </c>
      <c r="II27" s="36">
        <f t="shared" si="102"/>
        <v>55.000000000000007</v>
      </c>
      <c r="IJ27" s="101" t="s">
        <v>190</v>
      </c>
      <c r="IK27" s="98">
        <v>17</v>
      </c>
      <c r="IL27" s="98">
        <v>4</v>
      </c>
      <c r="IM27" s="3">
        <f t="shared" si="81"/>
        <v>21</v>
      </c>
      <c r="IN27" s="98">
        <v>9</v>
      </c>
      <c r="IO27" s="98">
        <v>0</v>
      </c>
      <c r="IP27" s="3">
        <f t="shared" si="82"/>
        <v>12</v>
      </c>
      <c r="IQ27" s="98">
        <v>1</v>
      </c>
      <c r="IR27" s="46">
        <f t="shared" si="83"/>
        <v>42.857142857142854</v>
      </c>
      <c r="IS27" s="103" t="s">
        <v>202</v>
      </c>
      <c r="IT27" s="104">
        <v>20</v>
      </c>
      <c r="IU27" s="104">
        <v>1</v>
      </c>
      <c r="IV27" s="3">
        <f t="shared" si="84"/>
        <v>21</v>
      </c>
      <c r="IW27" s="104">
        <v>14</v>
      </c>
      <c r="IX27" s="104">
        <v>0</v>
      </c>
      <c r="IY27" s="3">
        <f t="shared" si="85"/>
        <v>7</v>
      </c>
      <c r="IZ27" s="104">
        <v>4</v>
      </c>
      <c r="JA27" s="40">
        <f t="shared" si="86"/>
        <v>66.666666666666657</v>
      </c>
      <c r="JB27" s="101" t="s">
        <v>195</v>
      </c>
      <c r="JC27" s="98">
        <v>15</v>
      </c>
      <c r="JD27" s="98">
        <v>2</v>
      </c>
      <c r="JE27" s="5">
        <f t="shared" si="87"/>
        <v>17</v>
      </c>
      <c r="JF27" s="98">
        <v>11</v>
      </c>
      <c r="JG27" s="98">
        <v>0</v>
      </c>
      <c r="JH27" s="5">
        <f t="shared" si="88"/>
        <v>6</v>
      </c>
      <c r="JI27" s="98">
        <v>4</v>
      </c>
      <c r="JJ27" s="36">
        <f t="shared" si="100"/>
        <v>73.333333333333329</v>
      </c>
    </row>
    <row r="28" spans="1:270" x14ac:dyDescent="0.2">
      <c r="A28" s="1" t="s">
        <v>0</v>
      </c>
      <c r="B28" s="75">
        <v>24</v>
      </c>
      <c r="C28" s="76">
        <v>0</v>
      </c>
      <c r="D28" s="72">
        <f t="shared" si="4"/>
        <v>24</v>
      </c>
      <c r="E28" s="76">
        <v>7</v>
      </c>
      <c r="F28" s="76">
        <v>0</v>
      </c>
      <c r="G28" s="72">
        <f t="shared" si="5"/>
        <v>17</v>
      </c>
      <c r="H28" s="76">
        <v>11</v>
      </c>
      <c r="I28" s="13">
        <f t="shared" si="97"/>
        <v>29.166666666666668</v>
      </c>
      <c r="J28" s="1" t="s">
        <v>75</v>
      </c>
      <c r="K28" s="81">
        <v>60</v>
      </c>
      <c r="L28" s="81">
        <v>0</v>
      </c>
      <c r="M28" s="10">
        <f t="shared" si="7"/>
        <v>60</v>
      </c>
      <c r="N28" s="81">
        <v>10</v>
      </c>
      <c r="O28" s="81">
        <v>0</v>
      </c>
      <c r="P28" s="74">
        <f t="shared" si="8"/>
        <v>50</v>
      </c>
      <c r="Q28" s="130">
        <v>10</v>
      </c>
      <c r="R28" s="8">
        <f t="shared" si="101"/>
        <v>16.666666666666664</v>
      </c>
      <c r="S28" s="1" t="s">
        <v>1</v>
      </c>
      <c r="T28" s="3">
        <v>35</v>
      </c>
      <c r="U28" s="3">
        <v>0</v>
      </c>
      <c r="V28" s="10">
        <f t="shared" si="10"/>
        <v>35</v>
      </c>
      <c r="W28" s="3">
        <v>17</v>
      </c>
      <c r="X28" s="3">
        <v>0</v>
      </c>
      <c r="Y28" s="74">
        <f t="shared" si="11"/>
        <v>18</v>
      </c>
      <c r="Z28" s="3">
        <v>6</v>
      </c>
      <c r="AA28" s="4">
        <f t="shared" si="96"/>
        <v>48.571428571428569</v>
      </c>
      <c r="AB28" t="s">
        <v>75</v>
      </c>
      <c r="AC28" s="7">
        <v>28</v>
      </c>
      <c r="AD28" s="7">
        <v>2</v>
      </c>
      <c r="AE28" s="76">
        <f t="shared" si="13"/>
        <v>30</v>
      </c>
      <c r="AF28" s="7">
        <v>23</v>
      </c>
      <c r="AG28" s="7">
        <v>0</v>
      </c>
      <c r="AH28" s="76">
        <f t="shared" si="14"/>
        <v>7</v>
      </c>
      <c r="AI28" s="7">
        <v>2</v>
      </c>
      <c r="AJ28" s="48">
        <f t="shared" si="15"/>
        <v>76.666666666666671</v>
      </c>
      <c r="AK28" t="s">
        <v>75</v>
      </c>
      <c r="AL28" s="7">
        <v>29</v>
      </c>
      <c r="AM28" s="7">
        <v>10</v>
      </c>
      <c r="AN28" s="5">
        <f t="shared" si="16"/>
        <v>39</v>
      </c>
      <c r="AO28" s="7">
        <v>25</v>
      </c>
      <c r="AP28" s="7">
        <v>0</v>
      </c>
      <c r="AQ28" s="5">
        <f t="shared" si="17"/>
        <v>14</v>
      </c>
      <c r="AR28" s="7">
        <v>5</v>
      </c>
      <c r="AS28" s="8">
        <f t="shared" si="18"/>
        <v>64.102564102564102</v>
      </c>
      <c r="AT28" s="112" t="s">
        <v>199</v>
      </c>
      <c r="AU28" s="122">
        <v>25</v>
      </c>
      <c r="AV28" s="122">
        <v>6</v>
      </c>
      <c r="AW28" s="5">
        <f t="shared" si="19"/>
        <v>31</v>
      </c>
      <c r="AX28" s="122">
        <v>16</v>
      </c>
      <c r="AY28" s="122">
        <v>0</v>
      </c>
      <c r="AZ28" s="5">
        <f t="shared" si="20"/>
        <v>15</v>
      </c>
      <c r="BA28" s="122">
        <v>2</v>
      </c>
      <c r="BB28" s="128">
        <f t="shared" si="99"/>
        <v>51.612903225806448</v>
      </c>
      <c r="BU28" t="s">
        <v>75</v>
      </c>
      <c r="BV28" s="41">
        <v>40</v>
      </c>
      <c r="BW28" s="41">
        <v>0</v>
      </c>
      <c r="BX28" s="5">
        <f t="shared" si="28"/>
        <v>40</v>
      </c>
      <c r="BY28" s="41">
        <v>18</v>
      </c>
      <c r="BZ28" s="41">
        <v>0</v>
      </c>
      <c r="CA28" s="5">
        <f t="shared" si="29"/>
        <v>22</v>
      </c>
      <c r="CB28" s="41">
        <v>4</v>
      </c>
      <c r="CC28" s="42">
        <f t="shared" si="98"/>
        <v>45</v>
      </c>
      <c r="CD28" s="11" t="s">
        <v>75</v>
      </c>
      <c r="CE28" s="50">
        <v>31</v>
      </c>
      <c r="CF28" s="50">
        <v>17</v>
      </c>
      <c r="CG28" s="76">
        <f t="shared" si="31"/>
        <v>48</v>
      </c>
      <c r="CH28" s="50">
        <v>24</v>
      </c>
      <c r="CI28" s="50">
        <v>0</v>
      </c>
      <c r="CJ28" s="76">
        <f t="shared" si="32"/>
        <v>24</v>
      </c>
      <c r="CK28" s="50">
        <v>0</v>
      </c>
      <c r="CL28" s="43">
        <f t="shared" si="33"/>
        <v>50</v>
      </c>
      <c r="CM28" s="11" t="s">
        <v>75</v>
      </c>
      <c r="CN28" s="50">
        <v>40</v>
      </c>
      <c r="CO28" s="50">
        <v>1</v>
      </c>
      <c r="CP28" s="76">
        <f t="shared" si="34"/>
        <v>41</v>
      </c>
      <c r="CQ28" s="50">
        <v>39</v>
      </c>
      <c r="CR28" s="50">
        <v>0</v>
      </c>
      <c r="CS28" s="76">
        <f t="shared" si="35"/>
        <v>2</v>
      </c>
      <c r="CT28" s="50">
        <v>0</v>
      </c>
      <c r="CU28" s="42">
        <f t="shared" si="36"/>
        <v>95.121951219512198</v>
      </c>
      <c r="CV28" s="11" t="s">
        <v>75</v>
      </c>
      <c r="CW28" s="50">
        <v>34</v>
      </c>
      <c r="CX28" s="50">
        <v>11</v>
      </c>
      <c r="CY28" s="76">
        <f t="shared" si="37"/>
        <v>45</v>
      </c>
      <c r="CZ28" s="50">
        <v>28</v>
      </c>
      <c r="DA28" s="50">
        <v>0</v>
      </c>
      <c r="DB28" s="76">
        <f t="shared" si="38"/>
        <v>17</v>
      </c>
      <c r="DC28" s="50">
        <v>0</v>
      </c>
      <c r="DD28" s="43">
        <f t="shared" si="39"/>
        <v>62.222222222222221</v>
      </c>
      <c r="DE28" s="68" t="s">
        <v>3</v>
      </c>
      <c r="DF28" s="39">
        <v>26</v>
      </c>
      <c r="DG28" s="39">
        <v>0</v>
      </c>
      <c r="DH28" s="55">
        <f t="shared" si="40"/>
        <v>26</v>
      </c>
      <c r="DI28" s="39">
        <v>1</v>
      </c>
      <c r="DJ28" s="39">
        <v>0</v>
      </c>
      <c r="DK28" s="55">
        <f t="shared" si="41"/>
        <v>25</v>
      </c>
      <c r="DL28" s="39">
        <v>16</v>
      </c>
      <c r="DM28" s="37">
        <f t="shared" si="42"/>
        <v>3.8461538461538463</v>
      </c>
      <c r="DW28" t="s">
        <v>75</v>
      </c>
      <c r="DX28">
        <v>14</v>
      </c>
      <c r="DY28">
        <v>0</v>
      </c>
      <c r="DZ28" s="55">
        <f t="shared" si="46"/>
        <v>14</v>
      </c>
      <c r="EA28">
        <v>12</v>
      </c>
      <c r="EB28">
        <v>0</v>
      </c>
      <c r="EC28" s="55">
        <f t="shared" si="47"/>
        <v>2</v>
      </c>
      <c r="ED28">
        <v>2</v>
      </c>
      <c r="EE28" s="11">
        <f t="shared" si="95"/>
        <v>85.714285714285708</v>
      </c>
      <c r="EF28" s="44" t="s">
        <v>75</v>
      </c>
      <c r="EG28" s="50">
        <v>16</v>
      </c>
      <c r="EH28" s="50">
        <v>2</v>
      </c>
      <c r="EI28" s="34">
        <f t="shared" si="49"/>
        <v>18</v>
      </c>
      <c r="EJ28" s="50">
        <v>13</v>
      </c>
      <c r="EK28" s="50">
        <v>0</v>
      </c>
      <c r="EL28" s="34">
        <f t="shared" si="50"/>
        <v>5</v>
      </c>
      <c r="EM28" s="50">
        <v>2</v>
      </c>
      <c r="EN28" s="42">
        <f t="shared" si="91"/>
        <v>72.222222222222214</v>
      </c>
      <c r="EO28" s="44" t="s">
        <v>75</v>
      </c>
      <c r="EP28" s="50">
        <v>8</v>
      </c>
      <c r="EQ28" s="50">
        <v>0</v>
      </c>
      <c r="ER28" s="34">
        <f t="shared" si="52"/>
        <v>8</v>
      </c>
      <c r="ES28" s="50">
        <v>7</v>
      </c>
      <c r="ET28" s="50">
        <v>0</v>
      </c>
      <c r="EU28" s="34">
        <f t="shared" si="53"/>
        <v>1</v>
      </c>
      <c r="EV28" s="50">
        <v>0</v>
      </c>
      <c r="EW28" s="54">
        <f t="shared" si="92"/>
        <v>87.5</v>
      </c>
      <c r="EX28" s="44" t="s">
        <v>75</v>
      </c>
      <c r="EY28" s="50">
        <v>19</v>
      </c>
      <c r="EZ28" s="50">
        <v>3</v>
      </c>
      <c r="FA28" s="56">
        <f t="shared" si="55"/>
        <v>22</v>
      </c>
      <c r="FB28" s="50">
        <v>16</v>
      </c>
      <c r="FC28" s="50">
        <v>0</v>
      </c>
      <c r="FD28" s="56">
        <f t="shared" si="56"/>
        <v>6</v>
      </c>
      <c r="FE28" s="50">
        <v>5</v>
      </c>
      <c r="FF28" s="42">
        <f t="shared" si="93"/>
        <v>72.727272727272734</v>
      </c>
      <c r="FJ28" s="7"/>
      <c r="FM28" s="7"/>
      <c r="FP28" s="1"/>
      <c r="FQ28" s="80"/>
      <c r="FT28" s="80"/>
      <c r="FW28" s="80"/>
      <c r="FX28" s="11"/>
      <c r="FY28" s="88" t="s">
        <v>179</v>
      </c>
      <c r="FZ28" s="88">
        <v>29</v>
      </c>
      <c r="GA28" s="88">
        <v>0</v>
      </c>
      <c r="GB28" s="90">
        <f t="shared" si="63"/>
        <v>29</v>
      </c>
      <c r="GC28" s="88">
        <v>6</v>
      </c>
      <c r="GD28" s="88">
        <v>0</v>
      </c>
      <c r="GE28" s="90">
        <f t="shared" si="64"/>
        <v>23</v>
      </c>
      <c r="GF28" s="88">
        <v>22</v>
      </c>
      <c r="GG28" s="89">
        <f t="shared" si="1"/>
        <v>20.689655172413794</v>
      </c>
      <c r="GH28" s="88" t="s">
        <v>179</v>
      </c>
      <c r="GI28" s="94">
        <v>43</v>
      </c>
      <c r="GJ28" s="94">
        <v>8</v>
      </c>
      <c r="GK28" s="39">
        <f t="shared" si="65"/>
        <v>51</v>
      </c>
      <c r="GL28" s="94">
        <v>29</v>
      </c>
      <c r="GM28" s="94">
        <v>0</v>
      </c>
      <c r="GN28" s="39">
        <f t="shared" si="66"/>
        <v>22</v>
      </c>
      <c r="GO28" s="94">
        <v>1</v>
      </c>
      <c r="GP28" s="89">
        <f t="shared" si="67"/>
        <v>56.862745098039213</v>
      </c>
      <c r="GQ28" s="133" t="s">
        <v>202</v>
      </c>
      <c r="GR28" s="134">
        <v>33</v>
      </c>
      <c r="GS28" s="134">
        <v>3</v>
      </c>
      <c r="GT28" s="64">
        <f t="shared" si="68"/>
        <v>36</v>
      </c>
      <c r="GU28" s="134">
        <v>28</v>
      </c>
      <c r="GV28" s="134">
        <v>0</v>
      </c>
      <c r="GW28" s="64">
        <f t="shared" si="69"/>
        <v>8</v>
      </c>
      <c r="GX28" s="134">
        <v>3</v>
      </c>
      <c r="GY28" s="135">
        <f t="shared" si="70"/>
        <v>77.777777777777786</v>
      </c>
      <c r="HA28" s="11"/>
      <c r="HB28" s="11"/>
      <c r="HC28" s="11"/>
      <c r="HD28" s="11"/>
      <c r="HE28" s="11"/>
      <c r="HF28" s="11"/>
      <c r="HG28" s="11"/>
      <c r="HH28" s="11"/>
      <c r="HI28" s="39" t="s">
        <v>75</v>
      </c>
      <c r="HJ28" s="39">
        <v>26</v>
      </c>
      <c r="HK28" s="39">
        <v>0</v>
      </c>
      <c r="HL28" s="3">
        <f t="shared" si="73"/>
        <v>26</v>
      </c>
      <c r="HM28" s="39">
        <v>9</v>
      </c>
      <c r="HN28" s="39">
        <v>0</v>
      </c>
      <c r="HO28" s="3">
        <f t="shared" si="74"/>
        <v>17</v>
      </c>
      <c r="HP28" s="39">
        <v>13</v>
      </c>
      <c r="HQ28" s="40">
        <f t="shared" si="3"/>
        <v>34.615384615384613</v>
      </c>
      <c r="HR28" s="39" t="s">
        <v>75</v>
      </c>
      <c r="HS28" s="81">
        <v>33</v>
      </c>
      <c r="HT28" s="81">
        <v>0</v>
      </c>
      <c r="HU28" s="3">
        <f t="shared" si="75"/>
        <v>33</v>
      </c>
      <c r="HV28" s="81">
        <v>21</v>
      </c>
      <c r="HW28" s="81">
        <v>0</v>
      </c>
      <c r="HX28" s="3">
        <f t="shared" si="76"/>
        <v>12</v>
      </c>
      <c r="HY28" s="81">
        <v>10</v>
      </c>
      <c r="HZ28" s="40">
        <f t="shared" si="77"/>
        <v>63.636363636363633</v>
      </c>
      <c r="IA28" s="101" t="s">
        <v>194</v>
      </c>
      <c r="IB28" s="98">
        <v>19</v>
      </c>
      <c r="IC28" s="98">
        <v>0</v>
      </c>
      <c r="ID28" s="3">
        <f t="shared" si="78"/>
        <v>19</v>
      </c>
      <c r="IE28" s="98">
        <v>10</v>
      </c>
      <c r="IF28" s="98">
        <v>0</v>
      </c>
      <c r="IG28" s="3">
        <f t="shared" si="79"/>
        <v>9</v>
      </c>
      <c r="IH28" s="98">
        <v>6</v>
      </c>
      <c r="II28" s="36">
        <f t="shared" si="102"/>
        <v>52.631578947368418</v>
      </c>
      <c r="IJ28" s="101" t="s">
        <v>191</v>
      </c>
      <c r="IK28" s="98">
        <v>26</v>
      </c>
      <c r="IL28" s="98">
        <v>2</v>
      </c>
      <c r="IM28" s="3">
        <f t="shared" si="81"/>
        <v>28</v>
      </c>
      <c r="IN28" s="98">
        <v>21</v>
      </c>
      <c r="IO28" s="98">
        <v>0</v>
      </c>
      <c r="IP28" s="3">
        <f t="shared" si="82"/>
        <v>7</v>
      </c>
      <c r="IQ28" s="98">
        <v>3</v>
      </c>
      <c r="IR28" s="46">
        <f t="shared" si="83"/>
        <v>75</v>
      </c>
      <c r="IS28" s="103" t="s">
        <v>202</v>
      </c>
      <c r="IT28" s="104">
        <v>24</v>
      </c>
      <c r="IU28" s="104">
        <v>3</v>
      </c>
      <c r="IV28" s="3">
        <f t="shared" si="84"/>
        <v>27</v>
      </c>
      <c r="IW28" s="104">
        <v>13</v>
      </c>
      <c r="IX28" s="104">
        <v>0</v>
      </c>
      <c r="IY28" s="3">
        <f t="shared" si="85"/>
        <v>14</v>
      </c>
      <c r="IZ28" s="104">
        <v>3</v>
      </c>
      <c r="JA28" s="40">
        <f t="shared" si="86"/>
        <v>48.148148148148145</v>
      </c>
      <c r="JB28" s="102" t="s">
        <v>197</v>
      </c>
      <c r="JC28" s="99">
        <v>24</v>
      </c>
      <c r="JD28" s="99">
        <v>1</v>
      </c>
      <c r="JE28" s="5">
        <f t="shared" si="87"/>
        <v>25</v>
      </c>
      <c r="JF28" s="99">
        <v>17</v>
      </c>
      <c r="JG28" s="99">
        <v>0</v>
      </c>
      <c r="JH28" s="5">
        <f t="shared" si="88"/>
        <v>8</v>
      </c>
      <c r="JI28" s="99">
        <v>3</v>
      </c>
      <c r="JJ28" s="100">
        <f t="shared" si="100"/>
        <v>70.833333333333343</v>
      </c>
    </row>
    <row r="29" spans="1:270" x14ac:dyDescent="0.2">
      <c r="A29" s="1" t="s">
        <v>0</v>
      </c>
      <c r="B29" s="75">
        <v>24</v>
      </c>
      <c r="C29" s="76">
        <v>0</v>
      </c>
      <c r="D29" s="72">
        <f t="shared" si="4"/>
        <v>24</v>
      </c>
      <c r="E29" s="76">
        <v>5</v>
      </c>
      <c r="F29" s="76">
        <v>0</v>
      </c>
      <c r="G29" s="72">
        <f t="shared" si="5"/>
        <v>19</v>
      </c>
      <c r="H29" s="76">
        <v>5</v>
      </c>
      <c r="I29" s="13">
        <f t="shared" si="97"/>
        <v>20.833333333333336</v>
      </c>
      <c r="J29" s="1" t="s">
        <v>75</v>
      </c>
      <c r="K29" s="81">
        <v>70</v>
      </c>
      <c r="L29" s="81">
        <v>0</v>
      </c>
      <c r="M29" s="10">
        <f t="shared" si="7"/>
        <v>70</v>
      </c>
      <c r="N29" s="81">
        <v>14</v>
      </c>
      <c r="O29" s="81">
        <v>0</v>
      </c>
      <c r="P29" s="74">
        <f t="shared" si="8"/>
        <v>56</v>
      </c>
      <c r="Q29" s="130">
        <v>7</v>
      </c>
      <c r="R29" s="8">
        <f t="shared" si="101"/>
        <v>20</v>
      </c>
      <c r="S29" s="1" t="s">
        <v>1</v>
      </c>
      <c r="T29" s="3">
        <v>13</v>
      </c>
      <c r="U29" s="3">
        <v>0</v>
      </c>
      <c r="V29" s="10">
        <f t="shared" si="10"/>
        <v>13</v>
      </c>
      <c r="W29" s="3">
        <v>6</v>
      </c>
      <c r="X29" s="3">
        <v>0</v>
      </c>
      <c r="Y29" s="74">
        <f t="shared" si="11"/>
        <v>7</v>
      </c>
      <c r="Z29" s="3">
        <v>2</v>
      </c>
      <c r="AA29" s="4">
        <f t="shared" si="96"/>
        <v>46.153846153846153</v>
      </c>
      <c r="AB29" t="s">
        <v>75</v>
      </c>
      <c r="AC29" s="7">
        <v>24</v>
      </c>
      <c r="AD29" s="7">
        <v>10</v>
      </c>
      <c r="AE29" s="76">
        <f t="shared" si="13"/>
        <v>34</v>
      </c>
      <c r="AF29" s="7">
        <v>24</v>
      </c>
      <c r="AG29" s="7">
        <v>0</v>
      </c>
      <c r="AH29" s="76">
        <f t="shared" si="14"/>
        <v>10</v>
      </c>
      <c r="AI29" s="7">
        <v>1</v>
      </c>
      <c r="AJ29" s="48">
        <f t="shared" si="15"/>
        <v>70.588235294117652</v>
      </c>
      <c r="AK29" t="s">
        <v>75</v>
      </c>
      <c r="AL29" s="7">
        <v>31</v>
      </c>
      <c r="AM29" s="7">
        <v>11</v>
      </c>
      <c r="AN29" s="5">
        <f t="shared" si="16"/>
        <v>42</v>
      </c>
      <c r="AO29" s="7">
        <v>27</v>
      </c>
      <c r="AP29" s="7">
        <v>0</v>
      </c>
      <c r="AQ29" s="5">
        <f t="shared" si="17"/>
        <v>15</v>
      </c>
      <c r="AR29" s="7">
        <v>2</v>
      </c>
      <c r="AS29" s="8">
        <f t="shared" si="18"/>
        <v>64.285714285714292</v>
      </c>
      <c r="AT29" s="112" t="s">
        <v>199</v>
      </c>
      <c r="AU29" s="122">
        <v>20</v>
      </c>
      <c r="AV29" s="122">
        <v>4</v>
      </c>
      <c r="AW29" s="5">
        <f t="shared" si="19"/>
        <v>24</v>
      </c>
      <c r="AX29" s="122">
        <v>14</v>
      </c>
      <c r="AY29" s="122">
        <v>0</v>
      </c>
      <c r="AZ29" s="5">
        <f t="shared" si="20"/>
        <v>10</v>
      </c>
      <c r="BA29" s="122">
        <v>3</v>
      </c>
      <c r="BB29" s="128">
        <f t="shared" si="99"/>
        <v>58.333333333333336</v>
      </c>
      <c r="BU29" t="s">
        <v>75</v>
      </c>
      <c r="BV29" s="41">
        <v>44</v>
      </c>
      <c r="BW29" s="41">
        <v>0</v>
      </c>
      <c r="BX29" s="5">
        <f t="shared" si="28"/>
        <v>44</v>
      </c>
      <c r="BY29" s="41">
        <v>18</v>
      </c>
      <c r="BZ29" s="41">
        <v>0</v>
      </c>
      <c r="CA29" s="5">
        <f t="shared" si="29"/>
        <v>26</v>
      </c>
      <c r="CB29" s="41">
        <v>2</v>
      </c>
      <c r="CC29" s="42">
        <f t="shared" si="98"/>
        <v>40.909090909090914</v>
      </c>
      <c r="CD29" s="9" t="s">
        <v>0</v>
      </c>
      <c r="CE29" s="47">
        <v>31</v>
      </c>
      <c r="CF29" s="47">
        <v>9</v>
      </c>
      <c r="CG29" s="76">
        <f t="shared" si="31"/>
        <v>40</v>
      </c>
      <c r="CH29" s="47">
        <v>19</v>
      </c>
      <c r="CI29" s="47">
        <v>0</v>
      </c>
      <c r="CJ29" s="76">
        <f t="shared" si="32"/>
        <v>21</v>
      </c>
      <c r="CK29" s="47">
        <v>0</v>
      </c>
      <c r="CL29" s="46">
        <f t="shared" si="33"/>
        <v>47.5</v>
      </c>
      <c r="CM29" s="140" t="s">
        <v>205</v>
      </c>
      <c r="CN29" s="141">
        <v>45</v>
      </c>
      <c r="CO29" s="141">
        <v>1</v>
      </c>
      <c r="CP29" s="76">
        <f t="shared" si="34"/>
        <v>46</v>
      </c>
      <c r="CQ29" s="141">
        <v>45</v>
      </c>
      <c r="CR29" s="141">
        <v>0</v>
      </c>
      <c r="CS29" s="76">
        <f t="shared" si="35"/>
        <v>1</v>
      </c>
      <c r="CT29" s="141">
        <v>0</v>
      </c>
      <c r="CU29" s="142">
        <f t="shared" si="36"/>
        <v>97.826086956521735</v>
      </c>
      <c r="CV29" s="9" t="s">
        <v>0</v>
      </c>
      <c r="CW29" s="47">
        <v>26</v>
      </c>
      <c r="CX29" s="47">
        <v>21</v>
      </c>
      <c r="CY29" s="76">
        <f t="shared" si="37"/>
        <v>47</v>
      </c>
      <c r="CZ29" s="47">
        <v>20</v>
      </c>
      <c r="DA29" s="47">
        <v>0</v>
      </c>
      <c r="DB29" s="76">
        <f t="shared" si="38"/>
        <v>27</v>
      </c>
      <c r="DC29" s="47">
        <v>0</v>
      </c>
      <c r="DD29" s="46">
        <f t="shared" si="39"/>
        <v>42.553191489361701</v>
      </c>
      <c r="DE29" s="68" t="s">
        <v>3</v>
      </c>
      <c r="DF29" s="39">
        <v>12</v>
      </c>
      <c r="DG29" s="39">
        <v>0</v>
      </c>
      <c r="DH29" s="55">
        <f t="shared" si="40"/>
        <v>12</v>
      </c>
      <c r="DI29" s="39">
        <v>3</v>
      </c>
      <c r="DJ29" s="39">
        <v>0</v>
      </c>
      <c r="DK29" s="55">
        <f t="shared" si="41"/>
        <v>9</v>
      </c>
      <c r="DL29" s="39">
        <v>5</v>
      </c>
      <c r="DM29" s="37">
        <f t="shared" si="42"/>
        <v>25</v>
      </c>
      <c r="EE29" s="11"/>
      <c r="EF29" s="44" t="s">
        <v>75</v>
      </c>
      <c r="EG29" s="50">
        <v>15</v>
      </c>
      <c r="EH29" s="50">
        <v>0</v>
      </c>
      <c r="EI29" s="34">
        <f t="shared" si="49"/>
        <v>15</v>
      </c>
      <c r="EJ29" s="50">
        <v>14</v>
      </c>
      <c r="EK29" s="50">
        <v>0</v>
      </c>
      <c r="EL29" s="34">
        <f t="shared" si="50"/>
        <v>1</v>
      </c>
      <c r="EM29" s="50">
        <v>2</v>
      </c>
      <c r="EN29" s="42">
        <f t="shared" si="91"/>
        <v>93.333333333333329</v>
      </c>
      <c r="EO29" s="44" t="s">
        <v>75</v>
      </c>
      <c r="EP29" s="50">
        <v>7</v>
      </c>
      <c r="EQ29" s="50">
        <v>0</v>
      </c>
      <c r="ER29" s="34">
        <f t="shared" si="52"/>
        <v>7</v>
      </c>
      <c r="ES29" s="50">
        <v>6</v>
      </c>
      <c r="ET29" s="50">
        <v>0</v>
      </c>
      <c r="EU29" s="34">
        <f t="shared" si="53"/>
        <v>1</v>
      </c>
      <c r="EV29" s="50">
        <v>0</v>
      </c>
      <c r="EW29" s="54">
        <f t="shared" si="92"/>
        <v>85.714285714285708</v>
      </c>
      <c r="EX29" s="44" t="s">
        <v>75</v>
      </c>
      <c r="EY29" s="50">
        <v>7</v>
      </c>
      <c r="EZ29" s="50">
        <v>1</v>
      </c>
      <c r="FA29" s="56">
        <f t="shared" si="55"/>
        <v>8</v>
      </c>
      <c r="FB29" s="50">
        <v>4</v>
      </c>
      <c r="FC29" s="50">
        <v>0</v>
      </c>
      <c r="FD29" s="56">
        <f t="shared" si="56"/>
        <v>4</v>
      </c>
      <c r="FE29" s="50">
        <v>0</v>
      </c>
      <c r="FF29" s="42">
        <f t="shared" si="93"/>
        <v>50</v>
      </c>
      <c r="FP29" s="1"/>
      <c r="FQ29" s="80"/>
      <c r="FT29" s="80"/>
      <c r="FW29" s="80"/>
      <c r="FX29" s="11"/>
      <c r="FY29" s="88" t="s">
        <v>179</v>
      </c>
      <c r="FZ29" s="88">
        <v>38</v>
      </c>
      <c r="GA29" s="88">
        <v>0</v>
      </c>
      <c r="GB29" s="90">
        <f t="shared" si="63"/>
        <v>38</v>
      </c>
      <c r="GC29" s="88">
        <v>14</v>
      </c>
      <c r="GD29" s="88">
        <v>0</v>
      </c>
      <c r="GE29" s="90">
        <f t="shared" si="64"/>
        <v>24</v>
      </c>
      <c r="GF29" s="88">
        <v>16</v>
      </c>
      <c r="GG29" s="89">
        <f t="shared" si="1"/>
        <v>36.84210526315789</v>
      </c>
      <c r="GH29" s="88" t="s">
        <v>186</v>
      </c>
      <c r="GI29" s="88">
        <v>35</v>
      </c>
      <c r="GJ29" s="88">
        <v>15</v>
      </c>
      <c r="GK29" s="39">
        <f t="shared" si="65"/>
        <v>50</v>
      </c>
      <c r="GL29" s="88">
        <v>23</v>
      </c>
      <c r="GM29" s="88">
        <v>0</v>
      </c>
      <c r="GN29" s="39">
        <f t="shared" si="66"/>
        <v>27</v>
      </c>
      <c r="GO29" s="88">
        <v>1</v>
      </c>
      <c r="GP29" s="89">
        <f t="shared" si="67"/>
        <v>46</v>
      </c>
      <c r="HI29" s="101" t="s">
        <v>190</v>
      </c>
      <c r="HJ29" s="98">
        <v>29</v>
      </c>
      <c r="HK29" s="98">
        <v>0</v>
      </c>
      <c r="HL29" s="3">
        <f t="shared" si="73"/>
        <v>29</v>
      </c>
      <c r="HM29" s="98">
        <v>12</v>
      </c>
      <c r="HN29" s="98">
        <v>0</v>
      </c>
      <c r="HO29" s="3">
        <f t="shared" si="74"/>
        <v>17</v>
      </c>
      <c r="HP29" s="98">
        <v>13</v>
      </c>
      <c r="HQ29" s="36">
        <f t="shared" si="3"/>
        <v>41.379310344827587</v>
      </c>
      <c r="HR29" s="39" t="s">
        <v>75</v>
      </c>
      <c r="HS29" s="81">
        <v>32</v>
      </c>
      <c r="HT29" s="81">
        <v>0</v>
      </c>
      <c r="HU29" s="3">
        <f t="shared" si="75"/>
        <v>32</v>
      </c>
      <c r="HV29" s="81">
        <v>16</v>
      </c>
      <c r="HW29" s="81">
        <v>0</v>
      </c>
      <c r="HX29" s="3">
        <f t="shared" si="76"/>
        <v>16</v>
      </c>
      <c r="HY29" s="81">
        <v>9</v>
      </c>
      <c r="HZ29" s="40">
        <f t="shared" si="77"/>
        <v>50</v>
      </c>
      <c r="IA29" s="101" t="s">
        <v>195</v>
      </c>
      <c r="IB29" s="98">
        <v>17</v>
      </c>
      <c r="IC29" s="98">
        <v>0</v>
      </c>
      <c r="ID29" s="3">
        <f t="shared" si="78"/>
        <v>17</v>
      </c>
      <c r="IE29" s="98">
        <v>8</v>
      </c>
      <c r="IF29" s="98">
        <v>0</v>
      </c>
      <c r="IG29" s="3">
        <f t="shared" si="79"/>
        <v>9</v>
      </c>
      <c r="IH29" s="98">
        <v>12</v>
      </c>
      <c r="II29" s="36">
        <f t="shared" si="102"/>
        <v>47.058823529411761</v>
      </c>
      <c r="IJ29" s="101" t="s">
        <v>192</v>
      </c>
      <c r="IK29" s="98">
        <v>26</v>
      </c>
      <c r="IL29" s="98">
        <v>3</v>
      </c>
      <c r="IM29" s="3">
        <f t="shared" si="81"/>
        <v>29</v>
      </c>
      <c r="IN29" s="98">
        <v>20</v>
      </c>
      <c r="IO29" s="98">
        <v>0</v>
      </c>
      <c r="IP29" s="3">
        <f t="shared" si="82"/>
        <v>9</v>
      </c>
      <c r="IQ29" s="98">
        <v>5</v>
      </c>
      <c r="IR29" s="46">
        <f t="shared" si="83"/>
        <v>68.965517241379317</v>
      </c>
      <c r="IS29" s="103" t="s">
        <v>202</v>
      </c>
      <c r="IT29" s="104">
        <v>19</v>
      </c>
      <c r="IU29" s="104">
        <v>4</v>
      </c>
      <c r="IV29" s="3">
        <f t="shared" si="84"/>
        <v>23</v>
      </c>
      <c r="IW29" s="104">
        <v>14</v>
      </c>
      <c r="IX29" s="104">
        <v>0</v>
      </c>
      <c r="IY29" s="3">
        <f t="shared" si="85"/>
        <v>9</v>
      </c>
      <c r="IZ29" s="104">
        <v>3</v>
      </c>
      <c r="JA29" s="40">
        <f t="shared" si="86"/>
        <v>60.869565217391312</v>
      </c>
      <c r="JB29" s="102" t="s">
        <v>197</v>
      </c>
      <c r="JC29" s="99">
        <v>17</v>
      </c>
      <c r="JD29" s="99">
        <v>1</v>
      </c>
      <c r="JE29" s="5">
        <f t="shared" si="87"/>
        <v>18</v>
      </c>
      <c r="JF29" s="99">
        <v>8</v>
      </c>
      <c r="JG29" s="99">
        <v>0</v>
      </c>
      <c r="JH29" s="5">
        <f t="shared" si="88"/>
        <v>10</v>
      </c>
      <c r="JI29" s="99">
        <v>5</v>
      </c>
      <c r="JJ29" s="100">
        <f t="shared" si="100"/>
        <v>47.058823529411761</v>
      </c>
    </row>
    <row r="30" spans="1:270" x14ac:dyDescent="0.2">
      <c r="A30" s="1" t="s">
        <v>0</v>
      </c>
      <c r="B30" s="75">
        <v>12</v>
      </c>
      <c r="C30" s="76">
        <v>0</v>
      </c>
      <c r="D30" s="72">
        <f t="shared" si="4"/>
        <v>12</v>
      </c>
      <c r="E30" s="76">
        <v>4</v>
      </c>
      <c r="F30" s="76">
        <v>0</v>
      </c>
      <c r="G30" s="72">
        <f t="shared" si="5"/>
        <v>8</v>
      </c>
      <c r="H30" s="76">
        <v>5</v>
      </c>
      <c r="I30" s="13">
        <f t="shared" si="97"/>
        <v>33.333333333333329</v>
      </c>
      <c r="J30" s="1" t="s">
        <v>75</v>
      </c>
      <c r="K30" s="81">
        <v>71</v>
      </c>
      <c r="L30" s="81">
        <v>0</v>
      </c>
      <c r="M30" s="10">
        <f t="shared" si="7"/>
        <v>71</v>
      </c>
      <c r="N30" s="81">
        <v>17</v>
      </c>
      <c r="O30" s="81">
        <v>0</v>
      </c>
      <c r="P30" s="74">
        <f t="shared" si="8"/>
        <v>54</v>
      </c>
      <c r="Q30" s="130">
        <v>8</v>
      </c>
      <c r="R30" s="8">
        <f t="shared" si="101"/>
        <v>23.943661971830984</v>
      </c>
      <c r="S30" s="1" t="s">
        <v>75</v>
      </c>
      <c r="T30" s="7">
        <v>23</v>
      </c>
      <c r="U30" s="7">
        <v>0</v>
      </c>
      <c r="V30" s="10">
        <f t="shared" si="10"/>
        <v>23</v>
      </c>
      <c r="W30" s="7">
        <v>11</v>
      </c>
      <c r="X30" s="7">
        <v>0</v>
      </c>
      <c r="Y30" s="74">
        <f t="shared" si="11"/>
        <v>12</v>
      </c>
      <c r="Z30" s="7">
        <v>5</v>
      </c>
      <c r="AA30" s="8">
        <f t="shared" ref="AA30:AA35" si="103">(W30/T30)*100</f>
        <v>47.826086956521742</v>
      </c>
      <c r="AB30" t="s">
        <v>75</v>
      </c>
      <c r="AC30" s="7">
        <v>30</v>
      </c>
      <c r="AD30" s="7">
        <v>5</v>
      </c>
      <c r="AE30" s="76">
        <f t="shared" si="13"/>
        <v>35</v>
      </c>
      <c r="AF30" s="7">
        <v>22</v>
      </c>
      <c r="AG30" s="7">
        <v>0</v>
      </c>
      <c r="AH30" s="76">
        <f t="shared" si="14"/>
        <v>13</v>
      </c>
      <c r="AI30" s="7">
        <v>2</v>
      </c>
      <c r="AJ30" s="48">
        <f t="shared" si="15"/>
        <v>62.857142857142854</v>
      </c>
      <c r="AK30" t="s">
        <v>75</v>
      </c>
      <c r="AL30" s="7">
        <v>28</v>
      </c>
      <c r="AM30" s="7">
        <v>10</v>
      </c>
      <c r="AN30" s="5">
        <f t="shared" si="16"/>
        <v>38</v>
      </c>
      <c r="AO30" s="7">
        <v>28</v>
      </c>
      <c r="AP30" s="7">
        <v>0</v>
      </c>
      <c r="AQ30" s="5">
        <f t="shared" si="17"/>
        <v>10</v>
      </c>
      <c r="AR30" s="7">
        <v>2</v>
      </c>
      <c r="AS30" s="8">
        <f t="shared" si="18"/>
        <v>73.68421052631578</v>
      </c>
      <c r="AT30" s="112" t="s">
        <v>199</v>
      </c>
      <c r="AU30" s="122">
        <v>25</v>
      </c>
      <c r="AV30" s="122">
        <v>10</v>
      </c>
      <c r="AW30" s="5">
        <f t="shared" si="19"/>
        <v>35</v>
      </c>
      <c r="AX30" s="122">
        <v>18</v>
      </c>
      <c r="AY30" s="122">
        <v>0</v>
      </c>
      <c r="AZ30" s="5">
        <f t="shared" si="20"/>
        <v>17</v>
      </c>
      <c r="BA30" s="122">
        <v>3</v>
      </c>
      <c r="BB30" s="128">
        <f t="shared" si="99"/>
        <v>51.428571428571423</v>
      </c>
      <c r="BD30" s="15"/>
      <c r="BE30" s="15"/>
      <c r="BF30" s="15"/>
      <c r="BG30" s="15"/>
      <c r="BH30" s="15"/>
      <c r="BI30" s="15"/>
      <c r="BJ30" s="15"/>
      <c r="BK30" s="15"/>
      <c r="BM30" s="19"/>
      <c r="BN30" s="19"/>
      <c r="BO30" s="19"/>
      <c r="BP30" s="19"/>
      <c r="BQ30" s="19"/>
      <c r="BR30" s="19"/>
      <c r="BS30" s="19"/>
      <c r="BT30" s="19"/>
      <c r="BU30" t="s">
        <v>75</v>
      </c>
      <c r="BV30" s="41">
        <v>48</v>
      </c>
      <c r="BW30" s="41">
        <v>0</v>
      </c>
      <c r="BX30" s="5">
        <f t="shared" si="28"/>
        <v>48</v>
      </c>
      <c r="BY30" s="41">
        <v>30</v>
      </c>
      <c r="BZ30" s="41">
        <v>0</v>
      </c>
      <c r="CA30" s="5">
        <f t="shared" si="29"/>
        <v>18</v>
      </c>
      <c r="CB30" s="41">
        <v>1</v>
      </c>
      <c r="CC30" s="42">
        <f t="shared" si="98"/>
        <v>62.5</v>
      </c>
      <c r="CD30" s="9" t="s">
        <v>0</v>
      </c>
      <c r="CE30" s="47">
        <v>37</v>
      </c>
      <c r="CF30" s="47">
        <v>11</v>
      </c>
      <c r="CG30" s="76">
        <f t="shared" si="31"/>
        <v>48</v>
      </c>
      <c r="CH30" s="47">
        <v>27</v>
      </c>
      <c r="CI30" s="47">
        <v>0</v>
      </c>
      <c r="CJ30" s="76">
        <f t="shared" si="32"/>
        <v>21</v>
      </c>
      <c r="CK30" s="47">
        <v>0</v>
      </c>
      <c r="CL30" s="46">
        <f t="shared" si="33"/>
        <v>56.25</v>
      </c>
      <c r="CM30" s="140" t="s">
        <v>205</v>
      </c>
      <c r="CN30" s="141">
        <v>57</v>
      </c>
      <c r="CO30" s="141">
        <v>3</v>
      </c>
      <c r="CP30" s="76">
        <f t="shared" si="34"/>
        <v>60</v>
      </c>
      <c r="CQ30" s="141">
        <v>54</v>
      </c>
      <c r="CR30" s="141">
        <v>0</v>
      </c>
      <c r="CS30" s="76">
        <f t="shared" si="35"/>
        <v>6</v>
      </c>
      <c r="CT30" s="141">
        <v>1</v>
      </c>
      <c r="CU30" s="142">
        <f t="shared" si="36"/>
        <v>90</v>
      </c>
      <c r="CV30" s="9" t="s">
        <v>0</v>
      </c>
      <c r="CW30" s="47">
        <v>36</v>
      </c>
      <c r="CX30" s="47">
        <v>14</v>
      </c>
      <c r="CY30" s="47"/>
      <c r="CZ30" s="47">
        <v>27</v>
      </c>
      <c r="DA30" s="47">
        <v>0</v>
      </c>
      <c r="DB30" s="76">
        <f t="shared" si="38"/>
        <v>-27</v>
      </c>
      <c r="DC30" s="47">
        <v>0</v>
      </c>
      <c r="DD30" s="46">
        <f t="shared" si="39"/>
        <v>54</v>
      </c>
      <c r="DE30" s="68" t="s">
        <v>3</v>
      </c>
      <c r="DF30" s="39">
        <v>24</v>
      </c>
      <c r="DG30" s="39">
        <v>0</v>
      </c>
      <c r="DH30" s="55">
        <f t="shared" si="40"/>
        <v>24</v>
      </c>
      <c r="DI30" s="39">
        <v>3</v>
      </c>
      <c r="DJ30" s="39">
        <v>0</v>
      </c>
      <c r="DK30" s="55">
        <f t="shared" si="41"/>
        <v>21</v>
      </c>
      <c r="DL30" s="39">
        <v>16</v>
      </c>
      <c r="DM30" s="37">
        <f t="shared" si="42"/>
        <v>12.5</v>
      </c>
      <c r="EE30" s="17"/>
      <c r="EF30" s="44" t="s">
        <v>75</v>
      </c>
      <c r="EG30" s="50">
        <v>19</v>
      </c>
      <c r="EH30" s="50">
        <v>1</v>
      </c>
      <c r="EI30" s="34">
        <f t="shared" si="49"/>
        <v>20</v>
      </c>
      <c r="EJ30" s="50">
        <v>17</v>
      </c>
      <c r="EK30" s="50">
        <v>0</v>
      </c>
      <c r="EL30" s="34">
        <f t="shared" si="50"/>
        <v>3</v>
      </c>
      <c r="EM30" s="50">
        <v>0</v>
      </c>
      <c r="EN30" s="42">
        <f t="shared" si="91"/>
        <v>85</v>
      </c>
      <c r="EO30" s="44" t="s">
        <v>75</v>
      </c>
      <c r="EP30" s="50">
        <v>12</v>
      </c>
      <c r="EQ30" s="50">
        <v>0</v>
      </c>
      <c r="ER30" s="34">
        <f t="shared" si="52"/>
        <v>12</v>
      </c>
      <c r="ES30" s="50">
        <v>12</v>
      </c>
      <c r="ET30" s="50">
        <v>0</v>
      </c>
      <c r="EU30" s="34">
        <f t="shared" si="53"/>
        <v>0</v>
      </c>
      <c r="EV30" s="50">
        <v>2</v>
      </c>
      <c r="EW30" s="54">
        <f t="shared" si="92"/>
        <v>100</v>
      </c>
      <c r="EX30" s="44" t="s">
        <v>75</v>
      </c>
      <c r="EY30" s="50">
        <v>18</v>
      </c>
      <c r="EZ30" s="50">
        <v>4</v>
      </c>
      <c r="FA30" s="56">
        <f t="shared" si="55"/>
        <v>22</v>
      </c>
      <c r="FB30" s="50">
        <v>15</v>
      </c>
      <c r="FC30" s="50">
        <v>0</v>
      </c>
      <c r="FD30" s="56">
        <f t="shared" si="56"/>
        <v>7</v>
      </c>
      <c r="FE30" s="50">
        <v>2</v>
      </c>
      <c r="FF30" s="42">
        <f t="shared" si="93"/>
        <v>68.181818181818173</v>
      </c>
      <c r="FP30" s="1"/>
      <c r="FQ30" s="80"/>
      <c r="FT30" s="80"/>
      <c r="FW30" s="80"/>
      <c r="FX30" s="11"/>
      <c r="FY30" s="88" t="s">
        <v>179</v>
      </c>
      <c r="FZ30" s="88">
        <v>41</v>
      </c>
      <c r="GA30" s="88">
        <v>0</v>
      </c>
      <c r="GB30" s="90">
        <f t="shared" si="63"/>
        <v>41</v>
      </c>
      <c r="GC30" s="88">
        <v>1</v>
      </c>
      <c r="GD30" s="88">
        <v>0</v>
      </c>
      <c r="GE30" s="90">
        <f t="shared" si="64"/>
        <v>40</v>
      </c>
      <c r="GF30" s="88">
        <v>37</v>
      </c>
      <c r="GG30" s="89">
        <f t="shared" si="1"/>
        <v>2.4390243902439024</v>
      </c>
      <c r="GH30" s="88" t="s">
        <v>187</v>
      </c>
      <c r="GI30" s="96">
        <v>32</v>
      </c>
      <c r="GJ30" s="96">
        <v>11</v>
      </c>
      <c r="GK30" s="39">
        <f t="shared" si="65"/>
        <v>43</v>
      </c>
      <c r="GL30" s="96">
        <v>25</v>
      </c>
      <c r="GM30" s="96">
        <v>0</v>
      </c>
      <c r="GN30" s="39">
        <f t="shared" si="66"/>
        <v>18</v>
      </c>
      <c r="GO30" s="96">
        <v>1</v>
      </c>
      <c r="GP30" s="89">
        <f t="shared" si="67"/>
        <v>58.139534883720934</v>
      </c>
      <c r="HI30" s="101" t="s">
        <v>191</v>
      </c>
      <c r="HJ30" s="98">
        <v>25</v>
      </c>
      <c r="HK30" s="98">
        <v>0</v>
      </c>
      <c r="HL30" s="3">
        <f t="shared" si="73"/>
        <v>25</v>
      </c>
      <c r="HM30" s="98">
        <v>6</v>
      </c>
      <c r="HN30" s="98">
        <v>0</v>
      </c>
      <c r="HO30" s="3">
        <f t="shared" si="74"/>
        <v>19</v>
      </c>
      <c r="HP30" s="98">
        <v>13</v>
      </c>
      <c r="HQ30" s="36">
        <f t="shared" si="3"/>
        <v>24</v>
      </c>
      <c r="HR30" s="39" t="s">
        <v>75</v>
      </c>
      <c r="HS30" s="81">
        <v>27</v>
      </c>
      <c r="HT30" s="81">
        <v>0</v>
      </c>
      <c r="HU30" s="3">
        <f t="shared" si="75"/>
        <v>27</v>
      </c>
      <c r="HV30" s="81">
        <v>19</v>
      </c>
      <c r="HW30" s="81">
        <v>0</v>
      </c>
      <c r="HX30" s="3">
        <f t="shared" si="76"/>
        <v>8</v>
      </c>
      <c r="HY30" s="81">
        <v>10</v>
      </c>
      <c r="HZ30" s="40">
        <f t="shared" si="77"/>
        <v>70.370370370370367</v>
      </c>
      <c r="IA30" s="102" t="s">
        <v>197</v>
      </c>
      <c r="IB30" s="99">
        <v>22</v>
      </c>
      <c r="IC30" s="99">
        <v>0</v>
      </c>
      <c r="ID30" s="3">
        <f t="shared" si="78"/>
        <v>22</v>
      </c>
      <c r="IE30" s="99">
        <v>10</v>
      </c>
      <c r="IF30" s="99">
        <v>0</v>
      </c>
      <c r="IG30" s="3">
        <f t="shared" si="79"/>
        <v>12</v>
      </c>
      <c r="IH30" s="99">
        <v>8</v>
      </c>
      <c r="II30" s="100">
        <f t="shared" si="102"/>
        <v>45.454545454545453</v>
      </c>
      <c r="IJ30" s="101" t="s">
        <v>193</v>
      </c>
      <c r="IK30" s="98">
        <v>22</v>
      </c>
      <c r="IL30" s="98">
        <v>2</v>
      </c>
      <c r="IM30" s="3">
        <f t="shared" si="81"/>
        <v>24</v>
      </c>
      <c r="IN30" s="98">
        <v>12</v>
      </c>
      <c r="IO30" s="98">
        <v>0</v>
      </c>
      <c r="IP30" s="3">
        <f t="shared" si="82"/>
        <v>12</v>
      </c>
      <c r="IQ30" s="98">
        <v>2</v>
      </c>
      <c r="IR30" s="46">
        <f t="shared" si="83"/>
        <v>50</v>
      </c>
      <c r="IS30" s="103" t="s">
        <v>202</v>
      </c>
      <c r="IT30" s="104">
        <v>14</v>
      </c>
      <c r="IU30" s="104">
        <v>1</v>
      </c>
      <c r="IV30" s="3">
        <f t="shared" si="84"/>
        <v>15</v>
      </c>
      <c r="IW30" s="104">
        <v>12</v>
      </c>
      <c r="IX30" s="104">
        <v>0</v>
      </c>
      <c r="IY30" s="3">
        <f t="shared" si="85"/>
        <v>3</v>
      </c>
      <c r="IZ30" s="104">
        <v>2</v>
      </c>
      <c r="JA30" s="40">
        <f t="shared" si="86"/>
        <v>80</v>
      </c>
      <c r="JB30" s="102" t="s">
        <v>197</v>
      </c>
      <c r="JC30" s="99">
        <v>19</v>
      </c>
      <c r="JD30" s="99">
        <v>3</v>
      </c>
      <c r="JE30" s="5">
        <f t="shared" si="87"/>
        <v>22</v>
      </c>
      <c r="JF30" s="99">
        <v>11</v>
      </c>
      <c r="JG30" s="99">
        <v>0</v>
      </c>
      <c r="JH30" s="5">
        <f t="shared" si="88"/>
        <v>11</v>
      </c>
      <c r="JI30" s="99">
        <v>3</v>
      </c>
      <c r="JJ30" s="100">
        <f t="shared" si="100"/>
        <v>57.894736842105267</v>
      </c>
    </row>
    <row r="31" spans="1:270" x14ac:dyDescent="0.2">
      <c r="A31" s="1" t="s">
        <v>0</v>
      </c>
      <c r="B31" s="75">
        <v>31</v>
      </c>
      <c r="C31" s="76">
        <v>0</v>
      </c>
      <c r="D31" s="72">
        <f t="shared" si="4"/>
        <v>31</v>
      </c>
      <c r="E31" s="76">
        <v>9</v>
      </c>
      <c r="F31" s="76">
        <v>0</v>
      </c>
      <c r="G31" s="72">
        <f t="shared" si="5"/>
        <v>22</v>
      </c>
      <c r="H31" s="76">
        <v>2</v>
      </c>
      <c r="I31" s="13">
        <f t="shared" si="97"/>
        <v>29.032258064516132</v>
      </c>
      <c r="J31" s="1" t="s">
        <v>75</v>
      </c>
      <c r="K31" s="81">
        <v>53</v>
      </c>
      <c r="L31" s="81">
        <v>0</v>
      </c>
      <c r="M31" s="10">
        <f t="shared" si="7"/>
        <v>53</v>
      </c>
      <c r="N31" s="81">
        <v>36</v>
      </c>
      <c r="O31" s="81">
        <v>0</v>
      </c>
      <c r="P31" s="74">
        <f t="shared" si="8"/>
        <v>17</v>
      </c>
      <c r="Q31" s="130">
        <v>16</v>
      </c>
      <c r="R31" s="8">
        <f t="shared" si="101"/>
        <v>67.924528301886795</v>
      </c>
      <c r="S31" s="1" t="s">
        <v>75</v>
      </c>
      <c r="T31" s="7">
        <v>37</v>
      </c>
      <c r="U31" s="7">
        <v>0</v>
      </c>
      <c r="V31" s="10">
        <f t="shared" si="10"/>
        <v>37</v>
      </c>
      <c r="W31" s="7">
        <v>13</v>
      </c>
      <c r="X31" s="7">
        <v>0</v>
      </c>
      <c r="Y31" s="74">
        <f t="shared" si="11"/>
        <v>24</v>
      </c>
      <c r="Z31" s="7">
        <v>7</v>
      </c>
      <c r="AA31" s="8">
        <f t="shared" si="103"/>
        <v>35.135135135135137</v>
      </c>
      <c r="AB31" s="109" t="s">
        <v>197</v>
      </c>
      <c r="AC31" s="126">
        <v>18</v>
      </c>
      <c r="AD31" s="126">
        <v>2</v>
      </c>
      <c r="AE31" s="76">
        <f t="shared" si="13"/>
        <v>20</v>
      </c>
      <c r="AF31" s="126">
        <v>11</v>
      </c>
      <c r="AG31" s="126">
        <v>0</v>
      </c>
      <c r="AH31" s="76">
        <f t="shared" si="14"/>
        <v>9</v>
      </c>
      <c r="AI31" s="126">
        <v>5</v>
      </c>
      <c r="AJ31" s="127">
        <f t="shared" si="15"/>
        <v>55.000000000000007</v>
      </c>
      <c r="AK31" s="107" t="s">
        <v>201</v>
      </c>
      <c r="AL31" s="108">
        <v>22</v>
      </c>
      <c r="AM31" s="108">
        <v>3</v>
      </c>
      <c r="AN31" s="5">
        <f t="shared" si="16"/>
        <v>25</v>
      </c>
      <c r="AO31" s="108">
        <v>15</v>
      </c>
      <c r="AP31" s="108">
        <v>0</v>
      </c>
      <c r="AQ31" s="5">
        <f t="shared" si="17"/>
        <v>10</v>
      </c>
      <c r="AR31" s="108">
        <v>5</v>
      </c>
      <c r="AS31" s="105">
        <f t="shared" si="18"/>
        <v>60</v>
      </c>
      <c r="AT31" s="115" t="s">
        <v>200</v>
      </c>
      <c r="AU31" s="62">
        <v>16</v>
      </c>
      <c r="AV31" s="62">
        <v>5</v>
      </c>
      <c r="AW31" s="5">
        <f t="shared" si="19"/>
        <v>21</v>
      </c>
      <c r="AX31" s="62">
        <v>13</v>
      </c>
      <c r="AY31" s="62">
        <v>0</v>
      </c>
      <c r="AZ31" s="5">
        <f t="shared" si="20"/>
        <v>8</v>
      </c>
      <c r="BA31" s="62">
        <v>4</v>
      </c>
      <c r="BB31" s="129">
        <f t="shared" si="99"/>
        <v>61.904761904761905</v>
      </c>
      <c r="BU31" t="s">
        <v>75</v>
      </c>
      <c r="BV31" s="44">
        <v>56</v>
      </c>
      <c r="BW31" s="44">
        <v>0</v>
      </c>
      <c r="BX31" s="5">
        <f t="shared" si="28"/>
        <v>56</v>
      </c>
      <c r="BY31" s="44">
        <v>23</v>
      </c>
      <c r="BZ31" s="44">
        <v>0</v>
      </c>
      <c r="CA31" s="5">
        <f t="shared" si="29"/>
        <v>33</v>
      </c>
      <c r="CB31" s="44">
        <v>0</v>
      </c>
      <c r="CC31" s="42">
        <f t="shared" si="98"/>
        <v>41.071428571428569</v>
      </c>
      <c r="CD31" s="9" t="s">
        <v>0</v>
      </c>
      <c r="CE31" s="47">
        <v>29</v>
      </c>
      <c r="CF31" s="47">
        <v>11</v>
      </c>
      <c r="CG31" s="76">
        <f t="shared" si="31"/>
        <v>40</v>
      </c>
      <c r="CH31" s="47">
        <v>29</v>
      </c>
      <c r="CI31" s="47">
        <v>0</v>
      </c>
      <c r="CJ31" s="76">
        <f t="shared" si="32"/>
        <v>11</v>
      </c>
      <c r="CK31" s="47">
        <v>0</v>
      </c>
      <c r="CL31" s="46">
        <f t="shared" si="33"/>
        <v>72.5</v>
      </c>
      <c r="CM31" s="140" t="s">
        <v>205</v>
      </c>
      <c r="CN31" s="141">
        <v>39</v>
      </c>
      <c r="CO31" s="141">
        <v>1</v>
      </c>
      <c r="CP31" s="76">
        <f t="shared" si="34"/>
        <v>40</v>
      </c>
      <c r="CQ31" s="141">
        <v>37</v>
      </c>
      <c r="CR31" s="141">
        <v>0</v>
      </c>
      <c r="CS31" s="76">
        <f t="shared" si="35"/>
        <v>3</v>
      </c>
      <c r="CT31" s="141">
        <v>1</v>
      </c>
      <c r="CU31" s="142">
        <f t="shared" si="36"/>
        <v>92.5</v>
      </c>
      <c r="CV31" s="11"/>
      <c r="CW31" s="49"/>
      <c r="CX31" s="49"/>
      <c r="CY31" s="49"/>
      <c r="CZ31" s="49"/>
      <c r="DA31" s="49"/>
      <c r="DB31" s="49"/>
      <c r="DC31" s="49"/>
      <c r="DD31" s="19"/>
      <c r="DE31" s="68" t="s">
        <v>3</v>
      </c>
      <c r="DF31" s="39">
        <v>18</v>
      </c>
      <c r="DG31" s="39">
        <v>0</v>
      </c>
      <c r="DH31" s="55">
        <f t="shared" si="40"/>
        <v>18</v>
      </c>
      <c r="DI31" s="39">
        <v>6</v>
      </c>
      <c r="DJ31" s="39">
        <v>0</v>
      </c>
      <c r="DK31" s="55">
        <f t="shared" si="41"/>
        <v>12</v>
      </c>
      <c r="DL31" s="39">
        <v>10</v>
      </c>
      <c r="DM31" s="37">
        <f t="shared" si="42"/>
        <v>33.333333333333329</v>
      </c>
      <c r="EF31" s="44" t="s">
        <v>75</v>
      </c>
      <c r="EG31" s="50">
        <v>10</v>
      </c>
      <c r="EH31" s="50">
        <v>0</v>
      </c>
      <c r="EI31" s="34">
        <f t="shared" si="49"/>
        <v>10</v>
      </c>
      <c r="EJ31" s="50">
        <v>9</v>
      </c>
      <c r="EK31" s="50">
        <v>0</v>
      </c>
      <c r="EL31" s="34">
        <f t="shared" si="50"/>
        <v>1</v>
      </c>
      <c r="EM31" s="50">
        <v>2</v>
      </c>
      <c r="EN31" s="42">
        <f t="shared" si="91"/>
        <v>90</v>
      </c>
      <c r="EO31" s="44" t="s">
        <v>75</v>
      </c>
      <c r="EP31" s="50">
        <v>7</v>
      </c>
      <c r="EQ31" s="50">
        <v>0</v>
      </c>
      <c r="ER31" s="34">
        <f t="shared" si="52"/>
        <v>7</v>
      </c>
      <c r="ES31" s="50">
        <v>6</v>
      </c>
      <c r="ET31" s="50">
        <v>0</v>
      </c>
      <c r="EU31" s="34">
        <f t="shared" si="53"/>
        <v>1</v>
      </c>
      <c r="EV31" s="50">
        <v>1</v>
      </c>
      <c r="EW31" s="54">
        <f t="shared" si="92"/>
        <v>85.714285714285708</v>
      </c>
      <c r="EX31" s="44" t="s">
        <v>75</v>
      </c>
      <c r="EY31" s="50">
        <v>12</v>
      </c>
      <c r="EZ31" s="50">
        <v>1</v>
      </c>
      <c r="FA31" s="56">
        <f t="shared" si="55"/>
        <v>13</v>
      </c>
      <c r="FB31" s="50">
        <v>12</v>
      </c>
      <c r="FC31" s="50">
        <v>0</v>
      </c>
      <c r="FD31" s="56">
        <f t="shared" si="56"/>
        <v>1</v>
      </c>
      <c r="FE31" s="50">
        <v>1</v>
      </c>
      <c r="FF31" s="42">
        <f t="shared" si="93"/>
        <v>92.307692307692307</v>
      </c>
      <c r="FP31" s="1"/>
      <c r="FQ31" s="80"/>
      <c r="FT31" s="80"/>
      <c r="FW31" s="80"/>
      <c r="FX31" s="11"/>
      <c r="FY31" s="88" t="s">
        <v>179</v>
      </c>
      <c r="FZ31" s="88">
        <v>33</v>
      </c>
      <c r="GA31" s="88">
        <v>0</v>
      </c>
      <c r="GB31" s="90">
        <f t="shared" si="63"/>
        <v>33</v>
      </c>
      <c r="GC31" s="88">
        <v>7</v>
      </c>
      <c r="GD31" s="88">
        <v>0</v>
      </c>
      <c r="GE31" s="90">
        <f t="shared" si="64"/>
        <v>26</v>
      </c>
      <c r="GF31" s="88">
        <v>24</v>
      </c>
      <c r="GG31" s="89">
        <f t="shared" si="1"/>
        <v>21.212121212121211</v>
      </c>
      <c r="GH31" s="88" t="s">
        <v>203</v>
      </c>
      <c r="GI31" s="88">
        <v>51</v>
      </c>
      <c r="GJ31" s="88">
        <v>7</v>
      </c>
      <c r="GK31" s="39">
        <f t="shared" si="65"/>
        <v>58</v>
      </c>
      <c r="GL31" s="88">
        <v>36</v>
      </c>
      <c r="GM31" s="88">
        <v>0</v>
      </c>
      <c r="GN31" s="39">
        <f t="shared" si="66"/>
        <v>22</v>
      </c>
      <c r="GO31" s="88">
        <v>0</v>
      </c>
      <c r="GP31" s="89">
        <f t="shared" si="67"/>
        <v>62.068965517241381</v>
      </c>
      <c r="HI31" s="101" t="s">
        <v>192</v>
      </c>
      <c r="HJ31" s="98">
        <v>22</v>
      </c>
      <c r="HK31" s="98">
        <v>0</v>
      </c>
      <c r="HL31" s="3">
        <f t="shared" si="73"/>
        <v>22</v>
      </c>
      <c r="HM31" s="98">
        <v>9</v>
      </c>
      <c r="HN31" s="98">
        <v>0</v>
      </c>
      <c r="HO31" s="3">
        <f t="shared" si="74"/>
        <v>13</v>
      </c>
      <c r="HP31" s="98">
        <v>8</v>
      </c>
      <c r="HQ31" s="36">
        <f t="shared" si="3"/>
        <v>40.909090909090914</v>
      </c>
      <c r="HR31" s="39" t="s">
        <v>75</v>
      </c>
      <c r="HS31" s="81">
        <v>22</v>
      </c>
      <c r="HT31" s="81">
        <v>0</v>
      </c>
      <c r="HU31" s="3">
        <f t="shared" si="75"/>
        <v>22</v>
      </c>
      <c r="HV31" s="81">
        <v>17</v>
      </c>
      <c r="HW31" s="81">
        <v>0</v>
      </c>
      <c r="HX31" s="3">
        <f t="shared" si="76"/>
        <v>5</v>
      </c>
      <c r="HY31" s="81">
        <v>15</v>
      </c>
      <c r="HZ31" s="40">
        <f t="shared" si="77"/>
        <v>77.272727272727266</v>
      </c>
      <c r="IA31" s="102" t="s">
        <v>197</v>
      </c>
      <c r="IB31" s="99">
        <v>14</v>
      </c>
      <c r="IC31" s="99">
        <v>0</v>
      </c>
      <c r="ID31" s="3">
        <f t="shared" si="78"/>
        <v>14</v>
      </c>
      <c r="IE31" s="99">
        <v>8</v>
      </c>
      <c r="IF31" s="99">
        <v>0</v>
      </c>
      <c r="IG31" s="3">
        <f t="shared" si="79"/>
        <v>6</v>
      </c>
      <c r="IH31" s="99">
        <v>8</v>
      </c>
      <c r="II31" s="100">
        <f t="shared" si="102"/>
        <v>57.142857142857139</v>
      </c>
      <c r="IJ31" s="101" t="s">
        <v>194</v>
      </c>
      <c r="IK31" s="98">
        <v>19</v>
      </c>
      <c r="IL31" s="98">
        <v>4</v>
      </c>
      <c r="IM31" s="3">
        <f t="shared" si="81"/>
        <v>23</v>
      </c>
      <c r="IN31" s="98">
        <v>14</v>
      </c>
      <c r="IO31" s="98">
        <v>0</v>
      </c>
      <c r="IP31" s="3">
        <f t="shared" si="82"/>
        <v>9</v>
      </c>
      <c r="IQ31" s="98">
        <v>5</v>
      </c>
      <c r="IR31" s="46">
        <f t="shared" si="83"/>
        <v>60.869565217391312</v>
      </c>
      <c r="IS31" s="103" t="s">
        <v>202</v>
      </c>
      <c r="IT31" s="104">
        <v>27</v>
      </c>
      <c r="IU31" s="104">
        <v>3</v>
      </c>
      <c r="IV31" s="3">
        <f t="shared" si="84"/>
        <v>30</v>
      </c>
      <c r="IW31" s="104">
        <v>20</v>
      </c>
      <c r="IX31" s="104">
        <v>0</v>
      </c>
      <c r="IY31" s="3">
        <f t="shared" si="85"/>
        <v>10</v>
      </c>
      <c r="IZ31" s="104">
        <v>5</v>
      </c>
      <c r="JA31" s="40">
        <f t="shared" si="86"/>
        <v>66.666666666666657</v>
      </c>
      <c r="JB31" s="102" t="s">
        <v>197</v>
      </c>
      <c r="JC31" s="99">
        <v>26</v>
      </c>
      <c r="JD31" s="99">
        <v>3</v>
      </c>
      <c r="JE31" s="5">
        <f t="shared" si="87"/>
        <v>29</v>
      </c>
      <c r="JF31" s="99">
        <v>17</v>
      </c>
      <c r="JG31" s="99">
        <v>0</v>
      </c>
      <c r="JH31" s="5">
        <f t="shared" si="88"/>
        <v>12</v>
      </c>
      <c r="JI31" s="99">
        <v>2</v>
      </c>
      <c r="JJ31" s="100">
        <f t="shared" si="100"/>
        <v>65.384615384615387</v>
      </c>
    </row>
    <row r="32" spans="1:270" x14ac:dyDescent="0.2">
      <c r="A32" s="1" t="s">
        <v>0</v>
      </c>
      <c r="B32" s="75">
        <v>26</v>
      </c>
      <c r="C32" s="76">
        <v>0</v>
      </c>
      <c r="D32" s="72">
        <f t="shared" si="4"/>
        <v>26</v>
      </c>
      <c r="E32" s="76">
        <v>9</v>
      </c>
      <c r="F32" s="76">
        <v>0</v>
      </c>
      <c r="G32" s="72">
        <f t="shared" si="5"/>
        <v>17</v>
      </c>
      <c r="H32" s="76">
        <v>1</v>
      </c>
      <c r="I32" s="13">
        <f t="shared" si="97"/>
        <v>34.615384615384613</v>
      </c>
      <c r="J32" s="1" t="s">
        <v>75</v>
      </c>
      <c r="K32" s="81">
        <v>41</v>
      </c>
      <c r="L32" s="81">
        <v>0</v>
      </c>
      <c r="M32" s="10">
        <f t="shared" si="7"/>
        <v>41</v>
      </c>
      <c r="N32" s="81">
        <v>24</v>
      </c>
      <c r="O32" s="81">
        <v>0</v>
      </c>
      <c r="P32" s="74">
        <f t="shared" si="8"/>
        <v>17</v>
      </c>
      <c r="Q32" s="130">
        <v>21</v>
      </c>
      <c r="R32" s="8">
        <f t="shared" ref="R32:R36" si="104">(N32/K32)*100</f>
        <v>58.536585365853654</v>
      </c>
      <c r="S32" s="1" t="s">
        <v>75</v>
      </c>
      <c r="T32" s="7">
        <v>26</v>
      </c>
      <c r="U32" s="7">
        <v>0</v>
      </c>
      <c r="V32" s="10">
        <f t="shared" si="10"/>
        <v>26</v>
      </c>
      <c r="W32" s="7">
        <v>15</v>
      </c>
      <c r="X32" s="7">
        <v>0</v>
      </c>
      <c r="Y32" s="74">
        <f t="shared" si="11"/>
        <v>11</v>
      </c>
      <c r="Z32" s="7">
        <v>4</v>
      </c>
      <c r="AA32" s="8">
        <f t="shared" si="103"/>
        <v>57.692307692307686</v>
      </c>
      <c r="AB32" s="109" t="s">
        <v>197</v>
      </c>
      <c r="AC32" s="126">
        <v>20</v>
      </c>
      <c r="AD32" s="126">
        <v>2</v>
      </c>
      <c r="AE32" s="76">
        <f t="shared" si="13"/>
        <v>22</v>
      </c>
      <c r="AF32" s="126">
        <v>11</v>
      </c>
      <c r="AG32" s="126">
        <v>0</v>
      </c>
      <c r="AH32" s="76">
        <f t="shared" si="14"/>
        <v>11</v>
      </c>
      <c r="AI32" s="126">
        <v>4</v>
      </c>
      <c r="AJ32" s="127">
        <f t="shared" si="15"/>
        <v>50</v>
      </c>
      <c r="AK32" s="107" t="s">
        <v>201</v>
      </c>
      <c r="AL32" s="108">
        <v>30</v>
      </c>
      <c r="AM32" s="108">
        <v>7</v>
      </c>
      <c r="AN32" s="5">
        <f t="shared" si="16"/>
        <v>37</v>
      </c>
      <c r="AO32" s="108">
        <v>23</v>
      </c>
      <c r="AP32" s="108">
        <v>0</v>
      </c>
      <c r="AQ32" s="5">
        <f t="shared" si="17"/>
        <v>14</v>
      </c>
      <c r="AR32" s="108">
        <v>3</v>
      </c>
      <c r="AS32" s="105">
        <f t="shared" si="18"/>
        <v>62.162162162162161</v>
      </c>
      <c r="AT32" s="115" t="s">
        <v>200</v>
      </c>
      <c r="AU32" s="62">
        <v>20</v>
      </c>
      <c r="AV32" s="62">
        <v>5</v>
      </c>
      <c r="AW32" s="5">
        <f t="shared" si="19"/>
        <v>25</v>
      </c>
      <c r="AX32" s="62">
        <v>20</v>
      </c>
      <c r="AY32" s="62">
        <v>0</v>
      </c>
      <c r="AZ32" s="5">
        <f t="shared" si="20"/>
        <v>5</v>
      </c>
      <c r="BA32" s="62">
        <v>4</v>
      </c>
      <c r="BB32" s="129">
        <f t="shared" si="99"/>
        <v>80</v>
      </c>
      <c r="CD32" s="9" t="s">
        <v>0</v>
      </c>
      <c r="CE32" s="47">
        <v>51</v>
      </c>
      <c r="CF32" s="47">
        <v>21</v>
      </c>
      <c r="CG32" s="76">
        <f t="shared" si="31"/>
        <v>72</v>
      </c>
      <c r="CH32" s="47">
        <v>31</v>
      </c>
      <c r="CI32" s="47">
        <v>0</v>
      </c>
      <c r="CJ32" s="76">
        <f t="shared" si="32"/>
        <v>41</v>
      </c>
      <c r="CK32" s="47">
        <v>0</v>
      </c>
      <c r="CL32" s="46">
        <f t="shared" si="33"/>
        <v>43.055555555555557</v>
      </c>
      <c r="CM32" s="140" t="s">
        <v>205</v>
      </c>
      <c r="CN32" s="141">
        <v>36</v>
      </c>
      <c r="CO32" s="141">
        <v>0</v>
      </c>
      <c r="CP32" s="76">
        <f t="shared" si="34"/>
        <v>36</v>
      </c>
      <c r="CQ32" s="141">
        <v>33</v>
      </c>
      <c r="CR32" s="141">
        <v>0</v>
      </c>
      <c r="CS32" s="76">
        <f t="shared" si="35"/>
        <v>3</v>
      </c>
      <c r="CT32" s="141">
        <v>1</v>
      </c>
      <c r="CU32" s="142">
        <f t="shared" si="36"/>
        <v>91.666666666666657</v>
      </c>
      <c r="CV32" s="11"/>
      <c r="CW32" s="49"/>
      <c r="CX32" s="49"/>
      <c r="CY32" s="49"/>
      <c r="CZ32" s="49"/>
      <c r="DA32" s="49"/>
      <c r="DB32" s="49"/>
      <c r="DC32" s="49"/>
      <c r="DD32" s="19"/>
      <c r="DE32" s="68" t="s">
        <v>3</v>
      </c>
      <c r="DF32" s="39">
        <v>7</v>
      </c>
      <c r="DG32" s="39">
        <v>0</v>
      </c>
      <c r="DH32" s="55">
        <f t="shared" si="40"/>
        <v>7</v>
      </c>
      <c r="DI32" s="39">
        <v>0</v>
      </c>
      <c r="DJ32" s="39">
        <v>0</v>
      </c>
      <c r="DK32" s="55">
        <f t="shared" si="41"/>
        <v>7</v>
      </c>
      <c r="DL32" s="39">
        <v>7</v>
      </c>
      <c r="DM32" s="37">
        <f t="shared" si="42"/>
        <v>0</v>
      </c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07" t="s">
        <v>201</v>
      </c>
      <c r="EG32" s="119">
        <v>9</v>
      </c>
      <c r="EH32" s="119">
        <v>0</v>
      </c>
      <c r="EI32" s="34">
        <f t="shared" si="49"/>
        <v>9</v>
      </c>
      <c r="EJ32" s="119">
        <v>7</v>
      </c>
      <c r="EK32" s="119">
        <v>0</v>
      </c>
      <c r="EL32" s="34">
        <f t="shared" si="50"/>
        <v>2</v>
      </c>
      <c r="EM32" s="119">
        <v>1</v>
      </c>
      <c r="EN32" s="105">
        <f t="shared" si="91"/>
        <v>77.777777777777786</v>
      </c>
      <c r="EO32" s="137" t="s">
        <v>204</v>
      </c>
      <c r="EP32" s="138">
        <v>14</v>
      </c>
      <c r="EQ32" s="138">
        <v>2</v>
      </c>
      <c r="ER32" s="34">
        <f t="shared" si="52"/>
        <v>16</v>
      </c>
      <c r="ES32" s="138">
        <v>11</v>
      </c>
      <c r="ET32" s="138">
        <v>0</v>
      </c>
      <c r="EU32" s="34">
        <f t="shared" si="53"/>
        <v>5</v>
      </c>
      <c r="EV32" s="138">
        <v>1</v>
      </c>
      <c r="EW32" s="139">
        <f t="shared" si="92"/>
        <v>68.75</v>
      </c>
      <c r="EX32" s="107" t="s">
        <v>201</v>
      </c>
      <c r="EY32" s="119">
        <v>13</v>
      </c>
      <c r="EZ32" s="119">
        <v>2</v>
      </c>
      <c r="FA32" s="56">
        <f t="shared" si="55"/>
        <v>15</v>
      </c>
      <c r="FB32" s="119">
        <v>9</v>
      </c>
      <c r="FC32" s="119">
        <v>0</v>
      </c>
      <c r="FD32" s="56">
        <f t="shared" si="56"/>
        <v>6</v>
      </c>
      <c r="FE32" s="119">
        <v>0</v>
      </c>
      <c r="FF32" s="105">
        <f t="shared" si="93"/>
        <v>60</v>
      </c>
      <c r="FP32" s="1"/>
      <c r="FQ32" s="80"/>
      <c r="FT32" s="80"/>
      <c r="FW32" s="80"/>
      <c r="FX32" s="11"/>
      <c r="HI32" s="101" t="s">
        <v>193</v>
      </c>
      <c r="HJ32" s="98">
        <v>26</v>
      </c>
      <c r="HK32" s="98">
        <v>0</v>
      </c>
      <c r="HL32" s="3">
        <f t="shared" si="73"/>
        <v>26</v>
      </c>
      <c r="HM32" s="98">
        <v>12</v>
      </c>
      <c r="HN32" s="98">
        <v>0</v>
      </c>
      <c r="HO32" s="3">
        <f t="shared" si="74"/>
        <v>14</v>
      </c>
      <c r="HP32" s="98">
        <v>13</v>
      </c>
      <c r="HQ32" s="36">
        <f t="shared" si="3"/>
        <v>46.153846153846153</v>
      </c>
      <c r="HR32" s="39" t="s">
        <v>75</v>
      </c>
      <c r="HS32" s="81">
        <v>30</v>
      </c>
      <c r="HT32" s="81">
        <v>0</v>
      </c>
      <c r="HU32" s="3">
        <f t="shared" si="75"/>
        <v>30</v>
      </c>
      <c r="HV32" s="81">
        <v>16</v>
      </c>
      <c r="HW32" s="81">
        <v>0</v>
      </c>
      <c r="HX32" s="3">
        <f t="shared" si="76"/>
        <v>14</v>
      </c>
      <c r="HY32" s="81">
        <v>18</v>
      </c>
      <c r="HZ32" s="40">
        <f t="shared" si="77"/>
        <v>53.333333333333336</v>
      </c>
      <c r="IA32" s="102" t="s">
        <v>197</v>
      </c>
      <c r="IB32" s="99">
        <v>25</v>
      </c>
      <c r="IC32" s="99">
        <v>0</v>
      </c>
      <c r="ID32" s="3">
        <f t="shared" si="78"/>
        <v>25</v>
      </c>
      <c r="IE32" s="99">
        <v>11</v>
      </c>
      <c r="IF32" s="99">
        <v>0</v>
      </c>
      <c r="IG32" s="3">
        <f t="shared" si="79"/>
        <v>14</v>
      </c>
      <c r="IH32" s="99">
        <v>9</v>
      </c>
      <c r="II32" s="100">
        <f t="shared" si="102"/>
        <v>44</v>
      </c>
      <c r="IJ32" s="101" t="s">
        <v>195</v>
      </c>
      <c r="IK32" s="98">
        <v>23</v>
      </c>
      <c r="IL32" s="98">
        <v>2</v>
      </c>
      <c r="IM32" s="3">
        <f t="shared" si="81"/>
        <v>25</v>
      </c>
      <c r="IN32" s="98">
        <v>15</v>
      </c>
      <c r="IO32" s="98">
        <v>0</v>
      </c>
      <c r="IP32" s="3">
        <f t="shared" si="82"/>
        <v>10</v>
      </c>
      <c r="IQ32" s="98">
        <v>4</v>
      </c>
      <c r="IR32" s="46">
        <f t="shared" si="83"/>
        <v>60</v>
      </c>
    </row>
    <row r="33" spans="1:270" x14ac:dyDescent="0.2">
      <c r="A33" s="1" t="s">
        <v>0</v>
      </c>
      <c r="B33" s="75">
        <v>26</v>
      </c>
      <c r="C33" s="76">
        <v>0</v>
      </c>
      <c r="D33" s="72">
        <f t="shared" si="4"/>
        <v>26</v>
      </c>
      <c r="E33" s="76">
        <v>7</v>
      </c>
      <c r="F33" s="76">
        <v>0</v>
      </c>
      <c r="G33" s="72">
        <f t="shared" si="5"/>
        <v>19</v>
      </c>
      <c r="H33" s="76">
        <v>3</v>
      </c>
      <c r="I33" s="13">
        <f t="shared" si="97"/>
        <v>26.923076923076923</v>
      </c>
      <c r="J33" s="1" t="s">
        <v>75</v>
      </c>
      <c r="K33" s="81">
        <v>53</v>
      </c>
      <c r="L33" s="81">
        <v>0</v>
      </c>
      <c r="M33" s="10">
        <f t="shared" si="7"/>
        <v>53</v>
      </c>
      <c r="N33" s="81">
        <v>25</v>
      </c>
      <c r="O33" s="81">
        <v>0</v>
      </c>
      <c r="P33" s="74">
        <f t="shared" si="8"/>
        <v>28</v>
      </c>
      <c r="Q33" s="130">
        <v>18</v>
      </c>
      <c r="R33" s="8">
        <f t="shared" si="104"/>
        <v>47.169811320754718</v>
      </c>
      <c r="S33" s="1" t="s">
        <v>75</v>
      </c>
      <c r="T33" s="7">
        <v>24</v>
      </c>
      <c r="U33" s="7">
        <v>0</v>
      </c>
      <c r="V33" s="10">
        <f t="shared" si="10"/>
        <v>24</v>
      </c>
      <c r="W33" s="7">
        <v>9</v>
      </c>
      <c r="X33" s="7">
        <v>0</v>
      </c>
      <c r="Y33" s="74">
        <f t="shared" si="11"/>
        <v>15</v>
      </c>
      <c r="Z33" s="7">
        <v>2</v>
      </c>
      <c r="AA33" s="8">
        <f t="shared" si="103"/>
        <v>37.5</v>
      </c>
      <c r="AB33" s="112" t="s">
        <v>199</v>
      </c>
      <c r="AC33" s="122">
        <v>22</v>
      </c>
      <c r="AD33" s="122">
        <v>5</v>
      </c>
      <c r="AE33" s="76">
        <f t="shared" si="13"/>
        <v>27</v>
      </c>
      <c r="AF33" s="122">
        <v>18</v>
      </c>
      <c r="AG33" s="122">
        <v>0</v>
      </c>
      <c r="AH33" s="76">
        <f t="shared" si="14"/>
        <v>9</v>
      </c>
      <c r="AI33" s="122">
        <v>1</v>
      </c>
      <c r="AJ33" s="128">
        <f t="shared" ref="AJ33:AJ46" si="105">(AF33/(AC33+AD33)*100)</f>
        <v>66.666666666666657</v>
      </c>
      <c r="AK33" s="107" t="s">
        <v>201</v>
      </c>
      <c r="AL33" s="108">
        <v>29</v>
      </c>
      <c r="AM33" s="108">
        <v>9</v>
      </c>
      <c r="AN33" s="5">
        <f t="shared" si="16"/>
        <v>38</v>
      </c>
      <c r="AO33" s="108">
        <v>22</v>
      </c>
      <c r="AP33" s="108">
        <v>0</v>
      </c>
      <c r="AQ33" s="5">
        <f t="shared" si="17"/>
        <v>16</v>
      </c>
      <c r="AR33" s="108">
        <v>3</v>
      </c>
      <c r="AS33" s="105">
        <f t="shared" si="18"/>
        <v>57.894736842105267</v>
      </c>
      <c r="AT33" s="115" t="s">
        <v>200</v>
      </c>
      <c r="AU33" s="62">
        <v>16</v>
      </c>
      <c r="AV33" s="62">
        <v>4</v>
      </c>
      <c r="AW33" s="5">
        <f t="shared" si="19"/>
        <v>20</v>
      </c>
      <c r="AX33" s="62">
        <v>15</v>
      </c>
      <c r="AY33" s="62">
        <v>0</v>
      </c>
      <c r="AZ33" s="5">
        <f t="shared" si="20"/>
        <v>5</v>
      </c>
      <c r="BA33" s="62">
        <v>5</v>
      </c>
      <c r="BB33" s="129">
        <f t="shared" si="99"/>
        <v>75</v>
      </c>
      <c r="CD33" s="9" t="s">
        <v>0</v>
      </c>
      <c r="CE33" s="47">
        <v>36</v>
      </c>
      <c r="CF33" s="47">
        <v>32</v>
      </c>
      <c r="CG33" s="76">
        <f t="shared" si="31"/>
        <v>68</v>
      </c>
      <c r="CH33" s="47">
        <v>33</v>
      </c>
      <c r="CI33" s="47">
        <v>0</v>
      </c>
      <c r="CJ33" s="76">
        <f t="shared" si="32"/>
        <v>35</v>
      </c>
      <c r="CK33" s="47">
        <v>0</v>
      </c>
      <c r="CL33" s="46">
        <f t="shared" si="33"/>
        <v>48.529411764705884</v>
      </c>
      <c r="CM33" s="140" t="s">
        <v>205</v>
      </c>
      <c r="CN33" s="141">
        <v>46</v>
      </c>
      <c r="CO33" s="141">
        <v>2</v>
      </c>
      <c r="CP33" s="76">
        <f t="shared" si="34"/>
        <v>48</v>
      </c>
      <c r="CQ33" s="141">
        <v>42</v>
      </c>
      <c r="CR33" s="141">
        <v>0</v>
      </c>
      <c r="CS33" s="76">
        <f t="shared" si="35"/>
        <v>6</v>
      </c>
      <c r="CT33" s="141">
        <v>0</v>
      </c>
      <c r="CU33" s="142">
        <f t="shared" si="36"/>
        <v>87.5</v>
      </c>
      <c r="CV33" s="11"/>
      <c r="CW33" s="49"/>
      <c r="CX33" s="49"/>
      <c r="CY33" s="49"/>
      <c r="CZ33" s="49"/>
      <c r="DA33" s="49"/>
      <c r="DB33" s="49"/>
      <c r="DC33" s="49"/>
      <c r="DD33" s="49"/>
      <c r="DE33" s="68" t="s">
        <v>3</v>
      </c>
      <c r="DF33" s="39">
        <v>19</v>
      </c>
      <c r="DG33" s="39">
        <v>0</v>
      </c>
      <c r="DH33" s="55">
        <f t="shared" si="40"/>
        <v>19</v>
      </c>
      <c r="DI33" s="39">
        <v>4</v>
      </c>
      <c r="DJ33" s="39">
        <v>0</v>
      </c>
      <c r="DK33" s="55">
        <f t="shared" si="41"/>
        <v>15</v>
      </c>
      <c r="DL33" s="39">
        <v>11</v>
      </c>
      <c r="DM33" s="37">
        <f t="shared" si="42"/>
        <v>21.052631578947366</v>
      </c>
      <c r="DO33" s="19"/>
      <c r="DP33" s="19"/>
      <c r="DQ33" s="19"/>
      <c r="DR33" s="19"/>
      <c r="DS33" s="19"/>
      <c r="DT33" s="19"/>
      <c r="DU33" s="19"/>
      <c r="DV33" s="25"/>
      <c r="DX33" s="24"/>
      <c r="DY33" s="24"/>
      <c r="DZ33" s="24"/>
      <c r="EA33" s="24"/>
      <c r="EB33" s="24"/>
      <c r="EC33" s="24"/>
      <c r="ED33" s="24"/>
      <c r="EE33" s="24"/>
      <c r="EF33" s="107" t="s">
        <v>201</v>
      </c>
      <c r="EG33" s="119">
        <v>16</v>
      </c>
      <c r="EH33" s="119">
        <v>3</v>
      </c>
      <c r="EI33" s="34">
        <f t="shared" si="49"/>
        <v>19</v>
      </c>
      <c r="EJ33" s="119">
        <v>13</v>
      </c>
      <c r="EK33" s="119">
        <v>0</v>
      </c>
      <c r="EL33" s="34">
        <f t="shared" si="50"/>
        <v>6</v>
      </c>
      <c r="EM33" s="119">
        <v>1</v>
      </c>
      <c r="EN33" s="105">
        <f t="shared" si="91"/>
        <v>68.421052631578945</v>
      </c>
      <c r="EO33" s="137" t="s">
        <v>204</v>
      </c>
      <c r="EP33" s="138">
        <v>12</v>
      </c>
      <c r="EQ33" s="138">
        <v>0</v>
      </c>
      <c r="ER33" s="34">
        <f t="shared" si="52"/>
        <v>12</v>
      </c>
      <c r="ES33" s="138">
        <v>9</v>
      </c>
      <c r="ET33" s="138">
        <v>0</v>
      </c>
      <c r="EU33" s="34">
        <f t="shared" si="53"/>
        <v>3</v>
      </c>
      <c r="EV33" s="138">
        <v>2</v>
      </c>
      <c r="EW33" s="139">
        <f t="shared" si="92"/>
        <v>75</v>
      </c>
      <c r="EX33" s="107" t="s">
        <v>201</v>
      </c>
      <c r="EY33" s="119">
        <v>19</v>
      </c>
      <c r="EZ33" s="119">
        <v>1</v>
      </c>
      <c r="FA33" s="56">
        <f t="shared" si="55"/>
        <v>20</v>
      </c>
      <c r="FB33" s="119">
        <v>15</v>
      </c>
      <c r="FC33" s="119">
        <v>0</v>
      </c>
      <c r="FD33" s="56">
        <f t="shared" si="56"/>
        <v>5</v>
      </c>
      <c r="FE33" s="119">
        <v>2</v>
      </c>
      <c r="FF33" s="105">
        <f t="shared" si="93"/>
        <v>75</v>
      </c>
      <c r="FP33" s="1"/>
      <c r="FQ33" s="80"/>
      <c r="FT33" s="80"/>
      <c r="FW33" s="80"/>
      <c r="FX33" s="11"/>
      <c r="GB33" s="90"/>
      <c r="GE33" s="90"/>
      <c r="HI33" s="101" t="s">
        <v>194</v>
      </c>
      <c r="HJ33" s="98">
        <v>62</v>
      </c>
      <c r="HK33" s="98">
        <v>0</v>
      </c>
      <c r="HL33" s="3">
        <f t="shared" si="73"/>
        <v>62</v>
      </c>
      <c r="HM33" s="98">
        <v>24</v>
      </c>
      <c r="HN33" s="98">
        <v>0</v>
      </c>
      <c r="HO33" s="3">
        <f t="shared" si="74"/>
        <v>38</v>
      </c>
      <c r="HP33" s="98">
        <v>32</v>
      </c>
      <c r="HQ33" s="36">
        <f t="shared" si="3"/>
        <v>38.70967741935484</v>
      </c>
      <c r="HR33" s="39" t="s">
        <v>75</v>
      </c>
      <c r="HS33" s="81">
        <v>29</v>
      </c>
      <c r="HT33" s="81">
        <v>0</v>
      </c>
      <c r="HU33" s="3">
        <f t="shared" si="75"/>
        <v>29</v>
      </c>
      <c r="HV33" s="81">
        <v>12</v>
      </c>
      <c r="HW33" s="81">
        <v>0</v>
      </c>
      <c r="HX33" s="3">
        <f t="shared" si="76"/>
        <v>17</v>
      </c>
      <c r="HY33" s="81">
        <v>17</v>
      </c>
      <c r="HZ33" s="40">
        <f t="shared" si="77"/>
        <v>41.379310344827587</v>
      </c>
      <c r="IA33" s="102" t="s">
        <v>197</v>
      </c>
      <c r="IB33" s="99">
        <v>22</v>
      </c>
      <c r="IC33" s="99">
        <v>0</v>
      </c>
      <c r="ID33" s="3">
        <f t="shared" si="78"/>
        <v>22</v>
      </c>
      <c r="IE33" s="99">
        <v>12</v>
      </c>
      <c r="IF33" s="99">
        <v>0</v>
      </c>
      <c r="IG33" s="3">
        <f t="shared" si="79"/>
        <v>10</v>
      </c>
      <c r="IH33" s="99">
        <v>13</v>
      </c>
      <c r="II33" s="100">
        <f t="shared" si="102"/>
        <v>54.54545454545454</v>
      </c>
      <c r="IJ33" s="101" t="s">
        <v>196</v>
      </c>
      <c r="IK33" s="131">
        <v>16</v>
      </c>
      <c r="IL33" s="131">
        <v>4</v>
      </c>
      <c r="IM33" s="3">
        <f t="shared" si="81"/>
        <v>20</v>
      </c>
      <c r="IN33" s="131">
        <v>12</v>
      </c>
      <c r="IO33" s="131">
        <v>0</v>
      </c>
      <c r="IP33" s="3">
        <f t="shared" si="82"/>
        <v>8</v>
      </c>
      <c r="IQ33" s="131">
        <v>4</v>
      </c>
      <c r="IR33" s="46">
        <f t="shared" si="83"/>
        <v>60</v>
      </c>
      <c r="IV33" s="126"/>
      <c r="IY33" s="126"/>
      <c r="JE33" s="126"/>
      <c r="JH33" s="5"/>
      <c r="JJ33" s="17"/>
    </row>
    <row r="34" spans="1:270" x14ac:dyDescent="0.2">
      <c r="A34" s="1" t="s">
        <v>75</v>
      </c>
      <c r="B34" s="77">
        <v>41</v>
      </c>
      <c r="C34" s="47">
        <v>0</v>
      </c>
      <c r="D34" s="72">
        <f t="shared" si="4"/>
        <v>41</v>
      </c>
      <c r="E34" s="47">
        <v>9</v>
      </c>
      <c r="F34" s="47">
        <v>0</v>
      </c>
      <c r="G34" s="72">
        <f t="shared" si="5"/>
        <v>32</v>
      </c>
      <c r="H34" s="47">
        <v>15</v>
      </c>
      <c r="I34" s="8">
        <f t="shared" ref="I34:I39" si="106">(E34/B34)*100</f>
        <v>21.951219512195124</v>
      </c>
      <c r="J34" s="107" t="s">
        <v>201</v>
      </c>
      <c r="K34" s="108">
        <v>26</v>
      </c>
      <c r="L34" s="108">
        <v>0</v>
      </c>
      <c r="M34" s="10">
        <f t="shared" si="7"/>
        <v>26</v>
      </c>
      <c r="N34" s="108">
        <v>6</v>
      </c>
      <c r="O34" s="108">
        <v>0</v>
      </c>
      <c r="P34" s="74">
        <f t="shared" si="8"/>
        <v>20</v>
      </c>
      <c r="Q34" s="119">
        <v>10</v>
      </c>
      <c r="R34" s="105">
        <f t="shared" si="104"/>
        <v>23.076923076923077</v>
      </c>
      <c r="S34" s="1" t="s">
        <v>75</v>
      </c>
      <c r="T34" s="7">
        <v>28</v>
      </c>
      <c r="U34" s="7">
        <v>0</v>
      </c>
      <c r="V34" s="10">
        <f t="shared" si="10"/>
        <v>28</v>
      </c>
      <c r="W34" s="7">
        <v>12</v>
      </c>
      <c r="X34" s="7">
        <v>0</v>
      </c>
      <c r="Y34" s="74">
        <f t="shared" si="11"/>
        <v>16</v>
      </c>
      <c r="Z34" s="7">
        <v>5</v>
      </c>
      <c r="AA34" s="8">
        <f t="shared" si="103"/>
        <v>42.857142857142854</v>
      </c>
      <c r="AB34" s="112" t="s">
        <v>199</v>
      </c>
      <c r="AC34" s="122">
        <v>23</v>
      </c>
      <c r="AD34" s="122">
        <v>3</v>
      </c>
      <c r="AE34" s="76">
        <f t="shared" si="13"/>
        <v>26</v>
      </c>
      <c r="AF34" s="122">
        <v>18</v>
      </c>
      <c r="AG34" s="122">
        <v>0</v>
      </c>
      <c r="AH34" s="76">
        <f t="shared" si="14"/>
        <v>8</v>
      </c>
      <c r="AI34" s="122">
        <v>2</v>
      </c>
      <c r="AJ34" s="128">
        <f t="shared" si="105"/>
        <v>69.230769230769226</v>
      </c>
      <c r="AK34" s="107" t="s">
        <v>201</v>
      </c>
      <c r="AL34" s="108">
        <v>38</v>
      </c>
      <c r="AM34" s="108">
        <v>3</v>
      </c>
      <c r="AN34" s="5">
        <f t="shared" si="16"/>
        <v>41</v>
      </c>
      <c r="AO34" s="108">
        <v>28</v>
      </c>
      <c r="AP34" s="108">
        <v>0</v>
      </c>
      <c r="AQ34" s="5">
        <f t="shared" si="17"/>
        <v>13</v>
      </c>
      <c r="AR34" s="108">
        <v>0</v>
      </c>
      <c r="AS34" s="105">
        <f t="shared" si="18"/>
        <v>68.292682926829272</v>
      </c>
      <c r="AT34" s="115" t="s">
        <v>200</v>
      </c>
      <c r="AU34" s="62">
        <v>21</v>
      </c>
      <c r="AV34" s="62">
        <v>7</v>
      </c>
      <c r="AW34" s="5">
        <f t="shared" si="19"/>
        <v>28</v>
      </c>
      <c r="AX34" s="62">
        <v>16</v>
      </c>
      <c r="AY34" s="62">
        <v>0</v>
      </c>
      <c r="AZ34" s="5">
        <f t="shared" si="20"/>
        <v>12</v>
      </c>
      <c r="BA34" s="62">
        <v>6</v>
      </c>
      <c r="BB34" s="129">
        <f t="shared" si="99"/>
        <v>57.142857142857139</v>
      </c>
      <c r="CD34" s="9" t="s">
        <v>0</v>
      </c>
      <c r="CE34" s="47">
        <v>34</v>
      </c>
      <c r="CF34" s="47">
        <v>27</v>
      </c>
      <c r="CG34" s="76">
        <f t="shared" si="31"/>
        <v>61</v>
      </c>
      <c r="CH34" s="47">
        <v>31</v>
      </c>
      <c r="CI34" s="47">
        <v>0</v>
      </c>
      <c r="CJ34" s="76">
        <f t="shared" si="32"/>
        <v>30</v>
      </c>
      <c r="CK34" s="47">
        <v>0</v>
      </c>
      <c r="CL34" s="46">
        <f t="shared" si="33"/>
        <v>50.819672131147541</v>
      </c>
      <c r="CM34" s="140" t="s">
        <v>205</v>
      </c>
      <c r="CN34" s="141">
        <v>33</v>
      </c>
      <c r="CO34" s="141">
        <v>3</v>
      </c>
      <c r="CP34" s="76">
        <f t="shared" si="34"/>
        <v>36</v>
      </c>
      <c r="CQ34" s="141">
        <v>30</v>
      </c>
      <c r="CR34" s="141">
        <v>0</v>
      </c>
      <c r="CS34" s="76">
        <f t="shared" si="35"/>
        <v>6</v>
      </c>
      <c r="CT34" s="141">
        <v>1</v>
      </c>
      <c r="CU34" s="142">
        <f t="shared" si="36"/>
        <v>83.333333333333343</v>
      </c>
      <c r="CV34" s="11"/>
      <c r="CW34" s="49"/>
      <c r="CX34" s="49"/>
      <c r="CY34" s="49"/>
      <c r="CZ34" s="49"/>
      <c r="DA34" s="49"/>
      <c r="DB34" s="49"/>
      <c r="DC34" s="49"/>
      <c r="DD34" s="19"/>
      <c r="EF34" s="107" t="s">
        <v>201</v>
      </c>
      <c r="EG34" s="119">
        <v>8</v>
      </c>
      <c r="EH34" s="119">
        <v>1</v>
      </c>
      <c r="EI34" s="34">
        <f t="shared" si="49"/>
        <v>9</v>
      </c>
      <c r="EJ34" s="119">
        <v>7</v>
      </c>
      <c r="EK34" s="119">
        <v>0</v>
      </c>
      <c r="EL34" s="34">
        <f t="shared" si="50"/>
        <v>2</v>
      </c>
      <c r="EM34" s="119">
        <v>0</v>
      </c>
      <c r="EN34" s="105">
        <f t="shared" si="91"/>
        <v>77.777777777777786</v>
      </c>
      <c r="EO34" s="137" t="s">
        <v>204</v>
      </c>
      <c r="EP34" s="138">
        <v>15</v>
      </c>
      <c r="EQ34" s="138">
        <v>2</v>
      </c>
      <c r="ER34" s="34">
        <f t="shared" si="52"/>
        <v>17</v>
      </c>
      <c r="ES34" s="138">
        <v>14</v>
      </c>
      <c r="ET34" s="138">
        <v>0</v>
      </c>
      <c r="EU34" s="34">
        <f t="shared" si="53"/>
        <v>3</v>
      </c>
      <c r="EV34" s="138">
        <v>0</v>
      </c>
      <c r="EW34" s="139">
        <f t="shared" si="92"/>
        <v>82.35294117647058</v>
      </c>
      <c r="EX34" s="107" t="s">
        <v>201</v>
      </c>
      <c r="EY34" s="119">
        <v>14</v>
      </c>
      <c r="EZ34" s="119">
        <v>3</v>
      </c>
      <c r="FA34" s="56">
        <f t="shared" si="55"/>
        <v>17</v>
      </c>
      <c r="FB34" s="119">
        <v>11</v>
      </c>
      <c r="FC34" s="119">
        <v>0</v>
      </c>
      <c r="FD34" s="56">
        <f t="shared" si="56"/>
        <v>6</v>
      </c>
      <c r="FE34" s="119">
        <v>1</v>
      </c>
      <c r="FF34" s="105">
        <f t="shared" si="93"/>
        <v>64.705882352941174</v>
      </c>
      <c r="FP34" s="1"/>
      <c r="FQ34" s="80"/>
      <c r="FT34" s="80"/>
      <c r="FW34" s="80"/>
      <c r="FX34" s="11"/>
      <c r="GO34" s="16"/>
      <c r="HI34" s="101" t="s">
        <v>195</v>
      </c>
      <c r="HJ34" s="98">
        <v>32</v>
      </c>
      <c r="HK34" s="98">
        <v>0</v>
      </c>
      <c r="HL34" s="3">
        <f t="shared" si="73"/>
        <v>32</v>
      </c>
      <c r="HM34" s="98">
        <v>11</v>
      </c>
      <c r="HN34" s="98">
        <v>0</v>
      </c>
      <c r="HO34" s="3">
        <f t="shared" si="74"/>
        <v>21</v>
      </c>
      <c r="HP34" s="98">
        <v>14</v>
      </c>
      <c r="HQ34" s="36">
        <f t="shared" si="3"/>
        <v>34.375</v>
      </c>
      <c r="HR34" s="103" t="s">
        <v>198</v>
      </c>
      <c r="HS34" s="104">
        <v>26</v>
      </c>
      <c r="HT34" s="104">
        <v>0</v>
      </c>
      <c r="HU34" s="3">
        <f t="shared" si="75"/>
        <v>26</v>
      </c>
      <c r="HV34" s="104">
        <v>10</v>
      </c>
      <c r="HW34" s="104">
        <v>0</v>
      </c>
      <c r="HX34" s="3">
        <f t="shared" si="76"/>
        <v>16</v>
      </c>
      <c r="HY34" s="104">
        <v>22</v>
      </c>
      <c r="HZ34" s="106">
        <v>38.46</v>
      </c>
      <c r="IJ34" s="132" t="s">
        <v>197</v>
      </c>
      <c r="IK34" s="131">
        <v>22</v>
      </c>
      <c r="IL34" s="131">
        <v>4</v>
      </c>
      <c r="IM34" s="3">
        <f t="shared" si="81"/>
        <v>26</v>
      </c>
      <c r="IN34" s="131">
        <v>18</v>
      </c>
      <c r="IO34" s="131">
        <v>0</v>
      </c>
      <c r="IP34" s="3">
        <f t="shared" si="82"/>
        <v>8</v>
      </c>
      <c r="IQ34" s="131">
        <v>0</v>
      </c>
      <c r="IR34" s="46">
        <f t="shared" si="83"/>
        <v>69.230769230769226</v>
      </c>
    </row>
    <row r="35" spans="1:270" x14ac:dyDescent="0.2">
      <c r="A35" s="1" t="s">
        <v>75</v>
      </c>
      <c r="B35" s="77">
        <v>28</v>
      </c>
      <c r="C35" s="47">
        <v>0</v>
      </c>
      <c r="D35" s="72">
        <f t="shared" si="4"/>
        <v>28</v>
      </c>
      <c r="E35" s="47">
        <v>8</v>
      </c>
      <c r="F35" s="47">
        <v>0</v>
      </c>
      <c r="G35" s="72">
        <f t="shared" si="5"/>
        <v>20</v>
      </c>
      <c r="H35" s="47">
        <v>8</v>
      </c>
      <c r="I35" s="8">
        <f t="shared" si="106"/>
        <v>28.571428571428569</v>
      </c>
      <c r="J35" s="107" t="s">
        <v>201</v>
      </c>
      <c r="K35" s="108">
        <v>30</v>
      </c>
      <c r="L35" s="108">
        <v>0</v>
      </c>
      <c r="M35" s="10">
        <f t="shared" si="7"/>
        <v>30</v>
      </c>
      <c r="N35" s="108">
        <v>11</v>
      </c>
      <c r="O35" s="108">
        <v>0</v>
      </c>
      <c r="P35" s="74">
        <f t="shared" si="8"/>
        <v>19</v>
      </c>
      <c r="Q35" s="119">
        <v>12</v>
      </c>
      <c r="R35" s="105">
        <f t="shared" si="104"/>
        <v>36.666666666666664</v>
      </c>
      <c r="S35" s="1" t="s">
        <v>75</v>
      </c>
      <c r="T35" s="7">
        <v>29</v>
      </c>
      <c r="U35" s="7">
        <v>0</v>
      </c>
      <c r="V35" s="10">
        <f t="shared" si="10"/>
        <v>29</v>
      </c>
      <c r="W35" s="7">
        <v>14</v>
      </c>
      <c r="X35" s="7">
        <v>0</v>
      </c>
      <c r="Y35" s="74">
        <f t="shared" si="11"/>
        <v>15</v>
      </c>
      <c r="Z35" s="7">
        <v>1</v>
      </c>
      <c r="AA35" s="8">
        <f t="shared" si="103"/>
        <v>48.275862068965516</v>
      </c>
      <c r="AB35" s="112" t="s">
        <v>199</v>
      </c>
      <c r="AC35" s="122">
        <v>20</v>
      </c>
      <c r="AD35" s="122">
        <v>3</v>
      </c>
      <c r="AE35" s="76">
        <f t="shared" si="13"/>
        <v>23</v>
      </c>
      <c r="AF35" s="122">
        <v>14</v>
      </c>
      <c r="AG35" s="122">
        <v>0</v>
      </c>
      <c r="AH35" s="76">
        <f t="shared" si="14"/>
        <v>9</v>
      </c>
      <c r="AI35" s="122">
        <v>1</v>
      </c>
      <c r="AJ35" s="128">
        <f t="shared" si="105"/>
        <v>60.869565217391312</v>
      </c>
      <c r="AK35" s="107" t="s">
        <v>201</v>
      </c>
      <c r="AL35" s="108">
        <v>15</v>
      </c>
      <c r="AM35" s="108">
        <v>2</v>
      </c>
      <c r="AN35" s="5">
        <f t="shared" si="16"/>
        <v>17</v>
      </c>
      <c r="AO35" s="108">
        <v>12</v>
      </c>
      <c r="AP35" s="108">
        <v>0</v>
      </c>
      <c r="AQ35" s="5">
        <f t="shared" si="17"/>
        <v>5</v>
      </c>
      <c r="AR35" s="108">
        <v>2</v>
      </c>
      <c r="AS35" s="105">
        <f t="shared" si="18"/>
        <v>70.588235294117652</v>
      </c>
      <c r="AT35" s="115" t="s">
        <v>200</v>
      </c>
      <c r="AU35" s="62">
        <v>24</v>
      </c>
      <c r="AV35" s="62">
        <v>5</v>
      </c>
      <c r="AW35" s="5">
        <f t="shared" si="19"/>
        <v>29</v>
      </c>
      <c r="AX35" s="62">
        <v>22</v>
      </c>
      <c r="AY35" s="62">
        <v>0</v>
      </c>
      <c r="AZ35" s="5">
        <f t="shared" si="20"/>
        <v>7</v>
      </c>
      <c r="BA35" s="62">
        <v>2</v>
      </c>
      <c r="BB35" s="129">
        <f t="shared" si="99"/>
        <v>75.862068965517238</v>
      </c>
      <c r="CD35" s="9" t="s">
        <v>0</v>
      </c>
      <c r="CE35" s="47">
        <v>41</v>
      </c>
      <c r="CF35" s="47">
        <v>22</v>
      </c>
      <c r="CG35" s="76">
        <f t="shared" si="31"/>
        <v>63</v>
      </c>
      <c r="CH35" s="47">
        <v>40</v>
      </c>
      <c r="CI35" s="47">
        <v>0</v>
      </c>
      <c r="CJ35" s="76">
        <f t="shared" si="32"/>
        <v>23</v>
      </c>
      <c r="CK35" s="47">
        <v>0</v>
      </c>
      <c r="CL35" s="46">
        <f t="shared" si="33"/>
        <v>63.492063492063487</v>
      </c>
      <c r="CM35" s="19"/>
      <c r="CN35" s="49"/>
      <c r="CO35" s="49"/>
      <c r="CP35" s="49"/>
      <c r="CQ35" s="49"/>
      <c r="CR35" s="49"/>
      <c r="CS35" s="49"/>
      <c r="CT35" s="49"/>
      <c r="CU35" s="11"/>
      <c r="CV35" s="11"/>
      <c r="CW35" s="49"/>
      <c r="CX35" s="49"/>
      <c r="CY35" s="49"/>
      <c r="CZ35" s="49"/>
      <c r="DA35" s="49"/>
      <c r="DB35" s="49"/>
      <c r="DC35" s="49"/>
      <c r="DD35" s="19"/>
      <c r="DF35" s="19"/>
      <c r="DG35" s="19"/>
      <c r="DH35" s="19"/>
      <c r="DI35" s="19"/>
      <c r="DJ35" s="19"/>
      <c r="DK35" s="19"/>
      <c r="DL35" s="19"/>
      <c r="DM35" s="19"/>
      <c r="EF35" s="107" t="s">
        <v>201</v>
      </c>
      <c r="EG35" s="119">
        <v>14</v>
      </c>
      <c r="EH35" s="119">
        <v>2</v>
      </c>
      <c r="EI35" s="34">
        <f t="shared" si="49"/>
        <v>16</v>
      </c>
      <c r="EJ35" s="119">
        <v>10</v>
      </c>
      <c r="EK35" s="119">
        <v>0</v>
      </c>
      <c r="EL35" s="34">
        <f t="shared" si="50"/>
        <v>6</v>
      </c>
      <c r="EM35" s="119">
        <v>1</v>
      </c>
      <c r="EN35" s="105">
        <f t="shared" si="91"/>
        <v>62.5</v>
      </c>
      <c r="EO35" s="137" t="s">
        <v>204</v>
      </c>
      <c r="EP35" s="138">
        <v>10</v>
      </c>
      <c r="EQ35" s="138">
        <v>0</v>
      </c>
      <c r="ER35" s="34">
        <f t="shared" si="52"/>
        <v>10</v>
      </c>
      <c r="ES35" s="138">
        <v>8</v>
      </c>
      <c r="ET35" s="138">
        <v>0</v>
      </c>
      <c r="EU35" s="34">
        <f t="shared" si="53"/>
        <v>2</v>
      </c>
      <c r="EV35" s="138">
        <v>1</v>
      </c>
      <c r="EW35" s="139">
        <f t="shared" si="92"/>
        <v>80</v>
      </c>
      <c r="EX35" s="107" t="s">
        <v>201</v>
      </c>
      <c r="EY35" s="119">
        <v>11</v>
      </c>
      <c r="EZ35" s="119">
        <v>2</v>
      </c>
      <c r="FA35" s="56">
        <f t="shared" si="55"/>
        <v>13</v>
      </c>
      <c r="FB35" s="119">
        <v>7</v>
      </c>
      <c r="FC35" s="119">
        <v>0</v>
      </c>
      <c r="FD35" s="56">
        <f t="shared" si="56"/>
        <v>6</v>
      </c>
      <c r="FE35" s="119">
        <v>0</v>
      </c>
      <c r="FF35" s="105">
        <f t="shared" si="93"/>
        <v>53.846153846153847</v>
      </c>
      <c r="FP35" s="1"/>
      <c r="FQ35" s="80"/>
      <c r="FT35" s="80"/>
      <c r="FW35" s="80"/>
      <c r="FX35" s="11"/>
      <c r="FZ35" s="29"/>
      <c r="GA35" s="29"/>
      <c r="GB35" s="29"/>
      <c r="GC35" s="29"/>
      <c r="GD35" s="29"/>
      <c r="GE35" s="29"/>
      <c r="GF35" s="29"/>
      <c r="GG35" s="29"/>
      <c r="GH35" s="29"/>
      <c r="GO35" s="16"/>
      <c r="HI35" s="101" t="s">
        <v>196</v>
      </c>
      <c r="HJ35" s="99">
        <v>27</v>
      </c>
      <c r="HK35" s="99">
        <v>0</v>
      </c>
      <c r="HL35" s="3">
        <f t="shared" si="73"/>
        <v>27</v>
      </c>
      <c r="HM35" s="99">
        <v>12</v>
      </c>
      <c r="HN35" s="99">
        <v>0</v>
      </c>
      <c r="HO35" s="3">
        <f t="shared" si="74"/>
        <v>15</v>
      </c>
      <c r="HP35" s="99">
        <v>5</v>
      </c>
      <c r="HQ35" s="100">
        <f t="shared" si="3"/>
        <v>44.444444444444443</v>
      </c>
      <c r="HR35" s="103" t="s">
        <v>198</v>
      </c>
      <c r="HS35" s="104">
        <v>19</v>
      </c>
      <c r="HT35" s="104">
        <v>0</v>
      </c>
      <c r="HU35" s="3">
        <f t="shared" si="75"/>
        <v>19</v>
      </c>
      <c r="HV35" s="104">
        <v>12</v>
      </c>
      <c r="HW35" s="104">
        <v>0</v>
      </c>
      <c r="HX35" s="3">
        <f t="shared" si="76"/>
        <v>7</v>
      </c>
      <c r="HY35" s="104">
        <v>12</v>
      </c>
      <c r="HZ35" s="106">
        <v>63.16</v>
      </c>
      <c r="IA35" s="1"/>
      <c r="ID35" s="126"/>
      <c r="IG35" s="126"/>
      <c r="IJ35" s="132" t="s">
        <v>197</v>
      </c>
      <c r="IK35" s="131">
        <v>23</v>
      </c>
      <c r="IL35" s="131">
        <v>3</v>
      </c>
      <c r="IM35" s="3">
        <f t="shared" si="81"/>
        <v>26</v>
      </c>
      <c r="IN35" s="131">
        <v>13</v>
      </c>
      <c r="IO35" s="131">
        <v>0</v>
      </c>
      <c r="IP35" s="3">
        <f t="shared" si="82"/>
        <v>13</v>
      </c>
      <c r="IQ35" s="131">
        <v>1</v>
      </c>
      <c r="IR35" s="46">
        <f t="shared" si="83"/>
        <v>50</v>
      </c>
      <c r="JA35" s="17"/>
    </row>
    <row r="36" spans="1:270" x14ac:dyDescent="0.2">
      <c r="A36" s="1" t="s">
        <v>75</v>
      </c>
      <c r="B36" s="77">
        <v>19</v>
      </c>
      <c r="C36" s="47">
        <v>0</v>
      </c>
      <c r="D36" s="72">
        <f t="shared" si="4"/>
        <v>19</v>
      </c>
      <c r="E36" s="47">
        <v>3</v>
      </c>
      <c r="F36" s="47">
        <v>0</v>
      </c>
      <c r="G36" s="72">
        <f t="shared" si="5"/>
        <v>16</v>
      </c>
      <c r="H36" s="47">
        <v>6</v>
      </c>
      <c r="I36" s="8">
        <f t="shared" si="106"/>
        <v>15.789473684210526</v>
      </c>
      <c r="J36" s="107" t="s">
        <v>201</v>
      </c>
      <c r="K36" s="108">
        <v>35</v>
      </c>
      <c r="L36" s="108">
        <v>0</v>
      </c>
      <c r="M36" s="10">
        <f t="shared" si="7"/>
        <v>35</v>
      </c>
      <c r="N36" s="108">
        <v>10</v>
      </c>
      <c r="O36" s="108">
        <v>0</v>
      </c>
      <c r="P36" s="74">
        <f t="shared" si="8"/>
        <v>25</v>
      </c>
      <c r="Q36" s="119">
        <v>9</v>
      </c>
      <c r="R36" s="105">
        <f t="shared" si="104"/>
        <v>28.571428571428569</v>
      </c>
      <c r="S36" s="120" t="s">
        <v>197</v>
      </c>
      <c r="T36" s="121">
        <v>28</v>
      </c>
      <c r="U36" s="121">
        <v>0</v>
      </c>
      <c r="V36" s="10">
        <f t="shared" si="10"/>
        <v>28</v>
      </c>
      <c r="W36" s="121">
        <v>8</v>
      </c>
      <c r="X36" s="121">
        <v>0</v>
      </c>
      <c r="Y36" s="74">
        <f t="shared" si="11"/>
        <v>20</v>
      </c>
      <c r="Z36" s="121">
        <v>7</v>
      </c>
      <c r="AA36" s="111">
        <f>(W36/T36)*100</f>
        <v>28.571428571428569</v>
      </c>
      <c r="AB36" s="112" t="s">
        <v>199</v>
      </c>
      <c r="AC36" s="122">
        <v>20</v>
      </c>
      <c r="AD36" s="122">
        <v>3</v>
      </c>
      <c r="AE36" s="76">
        <f t="shared" si="13"/>
        <v>23</v>
      </c>
      <c r="AF36" s="122">
        <v>14</v>
      </c>
      <c r="AG36" s="122">
        <v>0</v>
      </c>
      <c r="AH36" s="76">
        <f t="shared" si="14"/>
        <v>9</v>
      </c>
      <c r="AI36" s="122">
        <v>2</v>
      </c>
      <c r="AJ36" s="128">
        <f t="shared" si="105"/>
        <v>60.869565217391312</v>
      </c>
      <c r="AK36" s="107" t="s">
        <v>201</v>
      </c>
      <c r="AL36" s="108">
        <v>21</v>
      </c>
      <c r="AM36" s="108">
        <v>3</v>
      </c>
      <c r="AN36" s="5">
        <f t="shared" si="16"/>
        <v>24</v>
      </c>
      <c r="AO36" s="108">
        <v>15</v>
      </c>
      <c r="AP36" s="108">
        <v>0</v>
      </c>
      <c r="AQ36" s="5">
        <f t="shared" si="17"/>
        <v>9</v>
      </c>
      <c r="AR36" s="108">
        <v>1</v>
      </c>
      <c r="AS36" s="105">
        <f t="shared" si="18"/>
        <v>62.5</v>
      </c>
      <c r="CD36" s="9" t="s">
        <v>0</v>
      </c>
      <c r="CE36" s="47">
        <v>54</v>
      </c>
      <c r="CF36" s="47">
        <v>33</v>
      </c>
      <c r="CG36" s="76">
        <f t="shared" si="31"/>
        <v>87</v>
      </c>
      <c r="CH36" s="47">
        <v>33</v>
      </c>
      <c r="CI36" s="47">
        <v>0</v>
      </c>
      <c r="CJ36" s="76">
        <f t="shared" si="32"/>
        <v>54</v>
      </c>
      <c r="CK36" s="47">
        <v>0</v>
      </c>
      <c r="CL36" s="46">
        <f t="shared" si="33"/>
        <v>37.931034482758619</v>
      </c>
      <c r="CM36" s="19"/>
      <c r="CN36" s="49"/>
      <c r="CO36" s="49"/>
      <c r="CP36" s="49"/>
      <c r="CQ36" s="49"/>
      <c r="CR36" s="49"/>
      <c r="CS36" s="49"/>
      <c r="CT36" s="49"/>
      <c r="CU36" s="49"/>
      <c r="CV36" s="11"/>
      <c r="CW36" s="49"/>
      <c r="CX36" s="49"/>
      <c r="CY36" s="49"/>
      <c r="CZ36" s="49"/>
      <c r="DA36" s="49"/>
      <c r="DB36" s="49"/>
      <c r="DC36" s="49"/>
      <c r="DD36" s="19"/>
      <c r="DF36">
        <f>AVERAGE(DF2:DF33)</f>
        <v>18.46875</v>
      </c>
      <c r="DG36">
        <f t="shared" ref="DG36:EE36" si="107">AVERAGE(DG2:DG33)</f>
        <v>0</v>
      </c>
      <c r="DH36">
        <f t="shared" si="107"/>
        <v>18.46875</v>
      </c>
      <c r="DI36">
        <f t="shared" si="107"/>
        <v>2.71875</v>
      </c>
      <c r="DJ36">
        <f t="shared" si="107"/>
        <v>0</v>
      </c>
      <c r="DK36">
        <f t="shared" si="107"/>
        <v>15.75</v>
      </c>
      <c r="DL36">
        <f t="shared" si="107"/>
        <v>11.125</v>
      </c>
      <c r="DM36">
        <f t="shared" si="107"/>
        <v>14.438366196681368</v>
      </c>
      <c r="DN36" t="e">
        <f t="shared" si="107"/>
        <v>#DIV/0!</v>
      </c>
      <c r="DO36">
        <f t="shared" si="107"/>
        <v>20.2</v>
      </c>
      <c r="DP36">
        <f t="shared" si="107"/>
        <v>0</v>
      </c>
      <c r="DQ36">
        <f t="shared" si="107"/>
        <v>20.2</v>
      </c>
      <c r="DR36">
        <f t="shared" si="107"/>
        <v>1.44</v>
      </c>
      <c r="DS36">
        <f t="shared" si="107"/>
        <v>0</v>
      </c>
      <c r="DT36">
        <f t="shared" si="107"/>
        <v>18.760000000000002</v>
      </c>
      <c r="DU36">
        <f t="shared" si="107"/>
        <v>14.6</v>
      </c>
      <c r="DV36">
        <f t="shared" si="107"/>
        <v>7.4777692432154677</v>
      </c>
      <c r="DW36" t="e">
        <f t="shared" si="107"/>
        <v>#DIV/0!</v>
      </c>
      <c r="DX36">
        <f t="shared" si="107"/>
        <v>12.037037037037036</v>
      </c>
      <c r="DY36">
        <f t="shared" si="107"/>
        <v>0</v>
      </c>
      <c r="DZ36">
        <f t="shared" si="107"/>
        <v>12.037037037037036</v>
      </c>
      <c r="EA36">
        <f t="shared" si="107"/>
        <v>7</v>
      </c>
      <c r="EB36">
        <f t="shared" si="107"/>
        <v>0</v>
      </c>
      <c r="EC36">
        <f t="shared" si="107"/>
        <v>5.0370370370370372</v>
      </c>
      <c r="ED36">
        <f t="shared" si="107"/>
        <v>2.074074074074074</v>
      </c>
      <c r="EE36">
        <f t="shared" si="107"/>
        <v>57.587959378465044</v>
      </c>
      <c r="EF36" s="107" t="s">
        <v>201</v>
      </c>
      <c r="EG36" s="119">
        <v>13</v>
      </c>
      <c r="EH36" s="119">
        <v>0</v>
      </c>
      <c r="EI36" s="34">
        <f t="shared" si="49"/>
        <v>13</v>
      </c>
      <c r="EJ36" s="119">
        <v>8</v>
      </c>
      <c r="EK36" s="119">
        <v>0</v>
      </c>
      <c r="EL36" s="34">
        <f t="shared" si="50"/>
        <v>5</v>
      </c>
      <c r="EM36" s="119">
        <v>0</v>
      </c>
      <c r="EN36" s="105">
        <f t="shared" si="91"/>
        <v>61.53846153846154</v>
      </c>
      <c r="EO36" s="137" t="s">
        <v>204</v>
      </c>
      <c r="EP36" s="138">
        <v>12</v>
      </c>
      <c r="EQ36" s="138">
        <v>1</v>
      </c>
      <c r="ER36" s="34">
        <f t="shared" si="52"/>
        <v>13</v>
      </c>
      <c r="ES36" s="138">
        <v>10</v>
      </c>
      <c r="ET36" s="138">
        <v>0</v>
      </c>
      <c r="EU36" s="34">
        <f t="shared" si="53"/>
        <v>3</v>
      </c>
      <c r="EV36" s="138">
        <v>0</v>
      </c>
      <c r="EW36" s="139">
        <f t="shared" si="92"/>
        <v>76.923076923076934</v>
      </c>
      <c r="EX36" s="107" t="s">
        <v>201</v>
      </c>
      <c r="EY36" s="119">
        <v>10</v>
      </c>
      <c r="EZ36" s="119">
        <v>3</v>
      </c>
      <c r="FA36" s="56">
        <f t="shared" si="55"/>
        <v>13</v>
      </c>
      <c r="FB36" s="119">
        <v>9</v>
      </c>
      <c r="FC36" s="119">
        <v>0</v>
      </c>
      <c r="FD36" s="56">
        <f t="shared" si="56"/>
        <v>4</v>
      </c>
      <c r="FE36" s="119">
        <v>0</v>
      </c>
      <c r="FF36" s="105">
        <f t="shared" si="93"/>
        <v>69.230769230769226</v>
      </c>
      <c r="FG36" s="17"/>
      <c r="FP36" s="1"/>
      <c r="FQ36" s="80"/>
      <c r="FT36" s="80"/>
      <c r="FW36" s="80"/>
      <c r="FX36" s="11"/>
      <c r="GO36" s="16"/>
      <c r="HI36" s="102" t="s">
        <v>197</v>
      </c>
      <c r="HJ36" s="99">
        <v>26</v>
      </c>
      <c r="HK36" s="99">
        <v>0</v>
      </c>
      <c r="HL36" s="3">
        <f t="shared" si="73"/>
        <v>26</v>
      </c>
      <c r="HM36" s="99">
        <v>6</v>
      </c>
      <c r="HN36" s="99">
        <v>0</v>
      </c>
      <c r="HO36" s="3">
        <f t="shared" si="74"/>
        <v>20</v>
      </c>
      <c r="HP36" s="99">
        <v>10</v>
      </c>
      <c r="HQ36" s="100">
        <f t="shared" si="3"/>
        <v>23.076923076923077</v>
      </c>
      <c r="HR36" s="103" t="s">
        <v>198</v>
      </c>
      <c r="HS36" s="104">
        <v>21</v>
      </c>
      <c r="HT36" s="104">
        <v>0</v>
      </c>
      <c r="HU36" s="3">
        <f t="shared" si="75"/>
        <v>21</v>
      </c>
      <c r="HV36" s="104">
        <v>11</v>
      </c>
      <c r="HW36" s="104">
        <v>0</v>
      </c>
      <c r="HX36" s="3">
        <f t="shared" si="76"/>
        <v>10</v>
      </c>
      <c r="HY36" s="104">
        <v>10</v>
      </c>
      <c r="HZ36" s="106">
        <v>52.38</v>
      </c>
      <c r="II36" s="1"/>
      <c r="IJ36" s="132" t="s">
        <v>197</v>
      </c>
      <c r="IK36" s="131">
        <v>27</v>
      </c>
      <c r="IL36" s="131">
        <v>2</v>
      </c>
      <c r="IM36" s="3">
        <f t="shared" si="81"/>
        <v>29</v>
      </c>
      <c r="IN36" s="131">
        <v>21</v>
      </c>
      <c r="IO36" s="131">
        <v>0</v>
      </c>
      <c r="IP36" s="3">
        <f t="shared" si="82"/>
        <v>8</v>
      </c>
      <c r="IQ36" s="131">
        <v>2</v>
      </c>
      <c r="IR36" s="46">
        <f t="shared" si="83"/>
        <v>72.41379310344827</v>
      </c>
    </row>
    <row r="37" spans="1:270" s="1" customFormat="1" x14ac:dyDescent="0.2">
      <c r="A37" s="1" t="s">
        <v>75</v>
      </c>
      <c r="B37" s="77">
        <v>22</v>
      </c>
      <c r="C37" s="47">
        <v>0</v>
      </c>
      <c r="D37" s="72">
        <f t="shared" si="4"/>
        <v>22</v>
      </c>
      <c r="E37" s="47">
        <v>4</v>
      </c>
      <c r="F37" s="47">
        <v>0</v>
      </c>
      <c r="G37" s="72">
        <f t="shared" si="5"/>
        <v>18</v>
      </c>
      <c r="H37" s="47">
        <v>2</v>
      </c>
      <c r="I37" s="8">
        <f t="shared" si="106"/>
        <v>18.181818181818183</v>
      </c>
      <c r="R37" s="11"/>
      <c r="S37" s="120" t="s">
        <v>197</v>
      </c>
      <c r="T37" s="121">
        <v>34</v>
      </c>
      <c r="U37" s="121">
        <v>0</v>
      </c>
      <c r="V37" s="10">
        <f t="shared" si="10"/>
        <v>34</v>
      </c>
      <c r="W37" s="121">
        <v>18</v>
      </c>
      <c r="X37" s="121">
        <v>0</v>
      </c>
      <c r="Y37" s="74">
        <f t="shared" si="11"/>
        <v>16</v>
      </c>
      <c r="Z37" s="121">
        <v>12</v>
      </c>
      <c r="AA37" s="111">
        <f t="shared" ref="AA37:AA56" si="108">(W37/T37)*100</f>
        <v>52.941176470588239</v>
      </c>
      <c r="AB37" s="112" t="s">
        <v>199</v>
      </c>
      <c r="AC37" s="122">
        <v>19</v>
      </c>
      <c r="AD37" s="122">
        <v>3</v>
      </c>
      <c r="AE37" s="76">
        <f t="shared" si="13"/>
        <v>22</v>
      </c>
      <c r="AF37" s="122">
        <v>10</v>
      </c>
      <c r="AG37" s="122">
        <v>0</v>
      </c>
      <c r="AH37" s="76">
        <f t="shared" si="14"/>
        <v>12</v>
      </c>
      <c r="AI37" s="122">
        <v>0</v>
      </c>
      <c r="AJ37" s="128">
        <f t="shared" si="105"/>
        <v>45.454545454545453</v>
      </c>
      <c r="CD37" s="9" t="s">
        <v>0</v>
      </c>
      <c r="CE37" s="52">
        <v>33</v>
      </c>
      <c r="CF37" s="52">
        <v>27</v>
      </c>
      <c r="CG37" s="76">
        <f t="shared" si="31"/>
        <v>60</v>
      </c>
      <c r="CH37" s="52">
        <v>24</v>
      </c>
      <c r="CI37" s="52">
        <v>0</v>
      </c>
      <c r="CJ37" s="76">
        <f t="shared" si="32"/>
        <v>36</v>
      </c>
      <c r="CK37" s="52">
        <v>0</v>
      </c>
      <c r="CL37" s="46">
        <f t="shared" si="33"/>
        <v>40</v>
      </c>
      <c r="CM37" s="19"/>
      <c r="CN37" s="51"/>
      <c r="CO37" s="51"/>
      <c r="CP37" s="51"/>
      <c r="CQ37" s="51"/>
      <c r="CR37" s="51"/>
      <c r="CS37" s="51"/>
      <c r="CT37" s="51"/>
      <c r="CU37" s="51"/>
      <c r="CV37" s="11"/>
      <c r="CW37" s="51"/>
      <c r="CX37" s="51"/>
      <c r="CY37" s="51"/>
      <c r="CZ37" s="51"/>
      <c r="DA37" s="51"/>
      <c r="DB37" s="51"/>
      <c r="DC37" s="51"/>
      <c r="DD37" s="19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ED37"/>
      <c r="EE37" s="17"/>
      <c r="EF37" s="107" t="s">
        <v>201</v>
      </c>
      <c r="EG37" s="119">
        <v>21</v>
      </c>
      <c r="EH37" s="119">
        <v>3</v>
      </c>
      <c r="EI37" s="34">
        <f t="shared" si="49"/>
        <v>24</v>
      </c>
      <c r="EJ37" s="119">
        <v>21</v>
      </c>
      <c r="EK37" s="119">
        <v>0</v>
      </c>
      <c r="EL37" s="34">
        <f t="shared" si="50"/>
        <v>3</v>
      </c>
      <c r="EM37" s="119">
        <v>1</v>
      </c>
      <c r="EN37" s="105">
        <f t="shared" si="91"/>
        <v>87.5</v>
      </c>
      <c r="EO37" s="137" t="s">
        <v>204</v>
      </c>
      <c r="EP37" s="138">
        <v>7</v>
      </c>
      <c r="EQ37" s="138">
        <v>1</v>
      </c>
      <c r="ER37" s="34">
        <f t="shared" si="52"/>
        <v>8</v>
      </c>
      <c r="ES37" s="138">
        <v>6</v>
      </c>
      <c r="ET37" s="138">
        <v>0</v>
      </c>
      <c r="EU37" s="34">
        <f t="shared" si="53"/>
        <v>2</v>
      </c>
      <c r="EV37" s="138">
        <v>1</v>
      </c>
      <c r="EW37" s="139">
        <f t="shared" si="92"/>
        <v>75</v>
      </c>
      <c r="EX37" s="107" t="s">
        <v>201</v>
      </c>
      <c r="EY37" s="119">
        <v>10</v>
      </c>
      <c r="EZ37" s="119">
        <v>0</v>
      </c>
      <c r="FA37" s="56">
        <f t="shared" si="55"/>
        <v>10</v>
      </c>
      <c r="FB37" s="119">
        <v>9</v>
      </c>
      <c r="FC37" s="119">
        <v>0</v>
      </c>
      <c r="FD37" s="56">
        <f t="shared" si="56"/>
        <v>1</v>
      </c>
      <c r="FE37" s="119">
        <v>1</v>
      </c>
      <c r="FF37" s="105">
        <f t="shared" si="93"/>
        <v>90</v>
      </c>
      <c r="FH37"/>
      <c r="FI37"/>
      <c r="FJ37"/>
      <c r="FK37"/>
      <c r="FL37"/>
      <c r="FM37"/>
      <c r="FN37"/>
      <c r="FO37"/>
      <c r="FQ37" s="80"/>
      <c r="FR37"/>
      <c r="FS37"/>
      <c r="FT37" s="80"/>
      <c r="FU37"/>
      <c r="FV37"/>
      <c r="FW37" s="80"/>
      <c r="FX37" s="11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 s="16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 s="102" t="s">
        <v>197</v>
      </c>
      <c r="HJ37" s="99">
        <v>25</v>
      </c>
      <c r="HK37" s="99">
        <v>0</v>
      </c>
      <c r="HL37" s="3">
        <f t="shared" si="73"/>
        <v>25</v>
      </c>
      <c r="HM37" s="99">
        <v>7</v>
      </c>
      <c r="HN37" s="99">
        <v>0</v>
      </c>
      <c r="HO37" s="3">
        <f t="shared" si="74"/>
        <v>18</v>
      </c>
      <c r="HP37" s="99">
        <v>7</v>
      </c>
      <c r="HQ37" s="100">
        <f t="shared" si="3"/>
        <v>28.000000000000004</v>
      </c>
      <c r="HR37" s="103" t="s">
        <v>198</v>
      </c>
      <c r="HS37" s="104">
        <v>22</v>
      </c>
      <c r="HT37" s="104">
        <v>0</v>
      </c>
      <c r="HU37" s="3">
        <f t="shared" si="75"/>
        <v>22</v>
      </c>
      <c r="HV37" s="104">
        <v>14</v>
      </c>
      <c r="HW37" s="104">
        <v>0</v>
      </c>
      <c r="HX37" s="3">
        <f t="shared" si="76"/>
        <v>8</v>
      </c>
      <c r="HY37" s="104">
        <v>13</v>
      </c>
      <c r="HZ37" s="106">
        <v>63.64</v>
      </c>
      <c r="IA37"/>
      <c r="IB37"/>
      <c r="IC37"/>
      <c r="ID37"/>
      <c r="IE37"/>
      <c r="IF37"/>
      <c r="IG37"/>
      <c r="IH37"/>
      <c r="II37"/>
      <c r="IJ37" s="133" t="s">
        <v>198</v>
      </c>
      <c r="IK37" s="134">
        <v>23</v>
      </c>
      <c r="IL37" s="134">
        <v>2</v>
      </c>
      <c r="IM37" s="3">
        <f t="shared" si="81"/>
        <v>25</v>
      </c>
      <c r="IN37" s="134">
        <v>19</v>
      </c>
      <c r="IO37" s="134">
        <v>0</v>
      </c>
      <c r="IP37" s="3">
        <f t="shared" si="82"/>
        <v>6</v>
      </c>
      <c r="IQ37" s="134">
        <v>3</v>
      </c>
      <c r="IR37" s="46">
        <f t="shared" si="83"/>
        <v>76</v>
      </c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</row>
    <row r="38" spans="1:270" x14ac:dyDescent="0.2">
      <c r="A38" s="1" t="s">
        <v>75</v>
      </c>
      <c r="B38" s="47">
        <v>29</v>
      </c>
      <c r="C38" s="47">
        <v>0</v>
      </c>
      <c r="D38" s="72">
        <f t="shared" si="4"/>
        <v>29</v>
      </c>
      <c r="E38" s="47">
        <v>2</v>
      </c>
      <c r="F38" s="47">
        <v>0</v>
      </c>
      <c r="G38" s="72">
        <f t="shared" si="5"/>
        <v>27</v>
      </c>
      <c r="H38" s="47">
        <v>5</v>
      </c>
      <c r="I38" s="8">
        <f t="shared" si="106"/>
        <v>6.8965517241379306</v>
      </c>
      <c r="J38" s="1"/>
      <c r="R38" s="17"/>
      <c r="S38" s="120" t="s">
        <v>197</v>
      </c>
      <c r="T38" s="121">
        <v>30</v>
      </c>
      <c r="U38" s="121">
        <v>0</v>
      </c>
      <c r="V38" s="10">
        <f t="shared" si="10"/>
        <v>30</v>
      </c>
      <c r="W38" s="121">
        <v>7</v>
      </c>
      <c r="X38" s="121">
        <v>0</v>
      </c>
      <c r="Y38" s="74">
        <f t="shared" si="11"/>
        <v>23</v>
      </c>
      <c r="Z38" s="121">
        <v>10</v>
      </c>
      <c r="AA38" s="111">
        <f t="shared" si="108"/>
        <v>23.333333333333332</v>
      </c>
      <c r="AB38" s="112" t="s">
        <v>199</v>
      </c>
      <c r="AC38" s="122">
        <v>30</v>
      </c>
      <c r="AD38" s="122">
        <v>4</v>
      </c>
      <c r="AE38" s="76">
        <f t="shared" si="13"/>
        <v>34</v>
      </c>
      <c r="AF38" s="122">
        <v>21</v>
      </c>
      <c r="AG38" s="122">
        <v>0</v>
      </c>
      <c r="AH38" s="76">
        <f t="shared" si="14"/>
        <v>13</v>
      </c>
      <c r="AI38" s="122">
        <v>1</v>
      </c>
      <c r="AJ38" s="128">
        <f t="shared" si="105"/>
        <v>61.764705882352942</v>
      </c>
      <c r="AL38">
        <f>AVERAGE(AL2:AL36)</f>
        <v>25.114285714285714</v>
      </c>
      <c r="AM38">
        <f t="shared" ref="AM38:BB38" si="109">AVERAGE(AM2:AM36)</f>
        <v>7.6</v>
      </c>
      <c r="AN38">
        <f t="shared" si="109"/>
        <v>32.714285714285715</v>
      </c>
      <c r="AO38">
        <f t="shared" si="109"/>
        <v>21.257142857142856</v>
      </c>
      <c r="AP38">
        <f t="shared" si="109"/>
        <v>0</v>
      </c>
      <c r="AQ38">
        <f t="shared" si="109"/>
        <v>11.457142857142857</v>
      </c>
      <c r="AR38">
        <f t="shared" si="109"/>
        <v>1.6285714285714286</v>
      </c>
      <c r="AS38">
        <f t="shared" si="109"/>
        <v>65.764632927648918</v>
      </c>
      <c r="AT38" t="e">
        <f t="shared" si="109"/>
        <v>#DIV/0!</v>
      </c>
      <c r="AU38">
        <f t="shared" si="109"/>
        <v>21.117647058823529</v>
      </c>
      <c r="AV38">
        <f t="shared" si="109"/>
        <v>6.2352941176470589</v>
      </c>
      <c r="AW38">
        <f t="shared" si="109"/>
        <v>27.352941176470587</v>
      </c>
      <c r="AX38">
        <f t="shared" si="109"/>
        <v>17.441176470588236</v>
      </c>
      <c r="AY38">
        <f t="shared" si="109"/>
        <v>2.9411764705882353E-2</v>
      </c>
      <c r="AZ38">
        <f t="shared" si="109"/>
        <v>9.9117647058823533</v>
      </c>
      <c r="BA38">
        <f t="shared" si="109"/>
        <v>2.5</v>
      </c>
      <c r="BB38">
        <f t="shared" si="109"/>
        <v>64.088019745697622</v>
      </c>
      <c r="BV38" s="19"/>
      <c r="BW38" s="19"/>
      <c r="BX38" s="19"/>
      <c r="BY38" s="19"/>
      <c r="BZ38" s="19"/>
      <c r="CA38" s="19"/>
      <c r="CB38" s="19"/>
      <c r="CC38" s="19"/>
      <c r="CD38" s="9" t="s">
        <v>0</v>
      </c>
      <c r="CE38" s="47">
        <v>39</v>
      </c>
      <c r="CF38" s="47">
        <v>14</v>
      </c>
      <c r="CG38" s="76">
        <f t="shared" si="31"/>
        <v>53</v>
      </c>
      <c r="CH38" s="47">
        <v>23</v>
      </c>
      <c r="CI38" s="47">
        <v>0</v>
      </c>
      <c r="CJ38" s="76">
        <f t="shared" si="32"/>
        <v>30</v>
      </c>
      <c r="CK38" s="47">
        <v>0</v>
      </c>
      <c r="CL38" s="46">
        <f t="shared" si="33"/>
        <v>43.39622641509434</v>
      </c>
      <c r="CM38" s="19"/>
      <c r="CN38" s="49"/>
      <c r="CO38" s="49"/>
      <c r="CP38" s="49"/>
      <c r="CQ38" s="49"/>
      <c r="CR38" s="49"/>
      <c r="CS38" s="49"/>
      <c r="CT38" s="49"/>
      <c r="CU38" s="11"/>
      <c r="CV38" s="11"/>
      <c r="CW38" s="49"/>
      <c r="CX38" s="49"/>
      <c r="CY38" s="49"/>
      <c r="CZ38" s="49"/>
      <c r="DA38" s="49"/>
      <c r="DB38" s="49"/>
      <c r="DC38" s="49"/>
      <c r="DD38" s="19"/>
      <c r="EE38" s="17"/>
      <c r="EF38" s="137" t="s">
        <v>204</v>
      </c>
      <c r="EG38" s="138">
        <v>11</v>
      </c>
      <c r="EH38" s="138">
        <v>3</v>
      </c>
      <c r="EI38" s="34">
        <f t="shared" si="49"/>
        <v>14</v>
      </c>
      <c r="EJ38" s="138">
        <v>9</v>
      </c>
      <c r="EK38" s="138">
        <v>0</v>
      </c>
      <c r="EL38" s="34">
        <f t="shared" si="50"/>
        <v>5</v>
      </c>
      <c r="EM38" s="138">
        <v>1</v>
      </c>
      <c r="EN38" s="139">
        <f t="shared" si="91"/>
        <v>64.285714285714292</v>
      </c>
      <c r="FP38" s="1"/>
      <c r="FQ38" s="80"/>
      <c r="FT38" s="80"/>
      <c r="FW38" s="80"/>
      <c r="FX38" s="11"/>
      <c r="GO38" s="16"/>
      <c r="HI38" s="102" t="s">
        <v>197</v>
      </c>
      <c r="HJ38" s="99">
        <v>22</v>
      </c>
      <c r="HK38" s="99">
        <v>0</v>
      </c>
      <c r="HL38" s="3">
        <f t="shared" si="73"/>
        <v>22</v>
      </c>
      <c r="HM38" s="99">
        <v>4</v>
      </c>
      <c r="HN38" s="99">
        <v>0</v>
      </c>
      <c r="HO38" s="3">
        <f t="shared" si="74"/>
        <v>18</v>
      </c>
      <c r="HP38" s="99">
        <v>8</v>
      </c>
      <c r="HQ38" s="100">
        <f t="shared" si="3"/>
        <v>18.181818181818183</v>
      </c>
      <c r="HR38" s="103" t="s">
        <v>198</v>
      </c>
      <c r="HS38" s="104">
        <v>21</v>
      </c>
      <c r="HT38" s="104">
        <v>0</v>
      </c>
      <c r="HU38" s="3">
        <f t="shared" si="75"/>
        <v>21</v>
      </c>
      <c r="HV38" s="104">
        <v>9</v>
      </c>
      <c r="HW38" s="104">
        <v>0</v>
      </c>
      <c r="HX38" s="3">
        <f t="shared" si="76"/>
        <v>12</v>
      </c>
      <c r="HY38" s="104">
        <v>17</v>
      </c>
      <c r="HZ38" s="106">
        <v>42.86</v>
      </c>
      <c r="IJ38" s="133" t="s">
        <v>198</v>
      </c>
      <c r="IK38" s="134">
        <v>20</v>
      </c>
      <c r="IL38" s="134">
        <v>1</v>
      </c>
      <c r="IM38" s="3">
        <f t="shared" si="81"/>
        <v>21</v>
      </c>
      <c r="IN38" s="134">
        <v>11</v>
      </c>
      <c r="IO38" s="134">
        <v>0</v>
      </c>
      <c r="IP38" s="3">
        <f t="shared" si="82"/>
        <v>10</v>
      </c>
      <c r="IQ38" s="134">
        <v>3</v>
      </c>
      <c r="IR38" s="46">
        <f t="shared" si="83"/>
        <v>52.380952380952387</v>
      </c>
    </row>
    <row r="39" spans="1:270" x14ac:dyDescent="0.2">
      <c r="A39" s="1" t="s">
        <v>75</v>
      </c>
      <c r="B39" s="47">
        <v>36</v>
      </c>
      <c r="C39" s="47">
        <v>0</v>
      </c>
      <c r="D39" s="72">
        <f t="shared" si="4"/>
        <v>36</v>
      </c>
      <c r="E39" s="47">
        <v>13</v>
      </c>
      <c r="F39" s="47">
        <v>0</v>
      </c>
      <c r="G39" s="72">
        <f t="shared" si="5"/>
        <v>23</v>
      </c>
      <c r="H39" s="47">
        <v>5</v>
      </c>
      <c r="I39" s="8">
        <f t="shared" si="106"/>
        <v>36.111111111111107</v>
      </c>
      <c r="J39" s="1"/>
      <c r="R39" s="11"/>
      <c r="S39" s="120" t="s">
        <v>197</v>
      </c>
      <c r="T39" s="121">
        <v>32</v>
      </c>
      <c r="U39" s="121">
        <v>0</v>
      </c>
      <c r="V39" s="10">
        <f t="shared" si="10"/>
        <v>32</v>
      </c>
      <c r="W39" s="121">
        <v>14</v>
      </c>
      <c r="X39" s="121">
        <v>0</v>
      </c>
      <c r="Y39" s="74">
        <f t="shared" si="11"/>
        <v>18</v>
      </c>
      <c r="Z39" s="121">
        <v>11</v>
      </c>
      <c r="AA39" s="111">
        <f t="shared" si="108"/>
        <v>43.75</v>
      </c>
      <c r="AB39" s="112" t="s">
        <v>199</v>
      </c>
      <c r="AC39" s="122">
        <v>27</v>
      </c>
      <c r="AD39" s="122">
        <v>5</v>
      </c>
      <c r="AE39" s="76">
        <f t="shared" si="13"/>
        <v>32</v>
      </c>
      <c r="AF39" s="122">
        <v>20</v>
      </c>
      <c r="AG39" s="122">
        <v>0</v>
      </c>
      <c r="AH39" s="76">
        <f t="shared" si="14"/>
        <v>12</v>
      </c>
      <c r="AI39" s="122">
        <v>2</v>
      </c>
      <c r="AJ39" s="128">
        <f t="shared" si="105"/>
        <v>62.5</v>
      </c>
      <c r="BB39" s="31"/>
      <c r="BV39" s="31"/>
      <c r="BW39" s="31"/>
      <c r="BX39" s="31"/>
      <c r="BY39" s="31"/>
      <c r="BZ39" s="31"/>
      <c r="CA39" s="31"/>
      <c r="CB39" s="31"/>
      <c r="CC39" s="31"/>
      <c r="CD39" s="9" t="s">
        <v>0</v>
      </c>
      <c r="CE39" s="47">
        <v>36</v>
      </c>
      <c r="CF39" s="47">
        <v>28</v>
      </c>
      <c r="CG39" s="76">
        <f t="shared" si="31"/>
        <v>64</v>
      </c>
      <c r="CH39" s="47">
        <v>26</v>
      </c>
      <c r="CI39" s="47">
        <v>0</v>
      </c>
      <c r="CJ39" s="76">
        <f t="shared" si="32"/>
        <v>38</v>
      </c>
      <c r="CK39" s="47">
        <v>0</v>
      </c>
      <c r="CL39" s="46">
        <f t="shared" si="33"/>
        <v>40.625</v>
      </c>
      <c r="CM39" s="19"/>
      <c r="CN39" s="49"/>
      <c r="CO39" s="49"/>
      <c r="CP39" s="49"/>
      <c r="CQ39" s="49"/>
      <c r="CR39" s="49"/>
      <c r="CS39" s="49"/>
      <c r="CT39" s="49"/>
      <c r="CU39" s="11"/>
      <c r="CV39" s="11"/>
      <c r="CW39" s="49"/>
      <c r="CX39" s="49"/>
      <c r="CY39" s="49"/>
      <c r="CZ39" s="49"/>
      <c r="DA39" s="49"/>
      <c r="DB39" s="49"/>
      <c r="DC39" s="49"/>
      <c r="DD39" s="19"/>
      <c r="EF39" s="137" t="s">
        <v>204</v>
      </c>
      <c r="EG39" s="138">
        <v>15</v>
      </c>
      <c r="EH39" s="138">
        <v>1</v>
      </c>
      <c r="EI39" s="34">
        <f t="shared" si="49"/>
        <v>16</v>
      </c>
      <c r="EJ39" s="138">
        <v>10</v>
      </c>
      <c r="EK39" s="138">
        <v>0</v>
      </c>
      <c r="EL39" s="34">
        <f t="shared" si="50"/>
        <v>6</v>
      </c>
      <c r="EM39" s="138">
        <v>2</v>
      </c>
      <c r="EN39" s="139">
        <f t="shared" si="91"/>
        <v>62.5</v>
      </c>
      <c r="FP39" s="11"/>
      <c r="FQ39" s="80"/>
      <c r="FT39" s="80"/>
      <c r="FW39" s="80"/>
      <c r="FX39" s="11"/>
      <c r="FZ39" s="39"/>
      <c r="GA39" s="39"/>
      <c r="GB39" s="39"/>
      <c r="GC39" s="39"/>
      <c r="GD39" s="37"/>
      <c r="GE39" s="37"/>
      <c r="GO39" s="16"/>
      <c r="HI39" s="103" t="s">
        <v>202</v>
      </c>
      <c r="HJ39" s="104">
        <v>27</v>
      </c>
      <c r="HK39" s="104">
        <v>0</v>
      </c>
      <c r="HL39" s="3">
        <f t="shared" si="73"/>
        <v>27</v>
      </c>
      <c r="HM39" s="104">
        <v>8</v>
      </c>
      <c r="HN39" s="104">
        <v>0</v>
      </c>
      <c r="HO39" s="3">
        <f t="shared" si="74"/>
        <v>19</v>
      </c>
      <c r="HP39" s="104">
        <v>12</v>
      </c>
      <c r="HQ39" s="105">
        <f t="shared" si="3"/>
        <v>29.629629629629626</v>
      </c>
      <c r="HR39" s="103" t="s">
        <v>198</v>
      </c>
      <c r="HS39" s="104">
        <v>11</v>
      </c>
      <c r="HT39" s="104">
        <v>0</v>
      </c>
      <c r="HU39" s="3">
        <f t="shared" si="75"/>
        <v>11</v>
      </c>
      <c r="HV39" s="104">
        <v>6</v>
      </c>
      <c r="HW39" s="104">
        <v>0</v>
      </c>
      <c r="HX39" s="3">
        <f t="shared" si="76"/>
        <v>5</v>
      </c>
      <c r="HY39" s="104">
        <v>6</v>
      </c>
      <c r="HZ39" s="106">
        <v>54.55</v>
      </c>
      <c r="IJ39" s="133" t="s">
        <v>198</v>
      </c>
      <c r="IK39" s="134">
        <v>24</v>
      </c>
      <c r="IL39" s="134">
        <v>3</v>
      </c>
      <c r="IM39" s="3">
        <f t="shared" si="81"/>
        <v>27</v>
      </c>
      <c r="IN39" s="134">
        <v>17</v>
      </c>
      <c r="IO39" s="134">
        <v>0</v>
      </c>
      <c r="IP39" s="3">
        <f t="shared" si="82"/>
        <v>10</v>
      </c>
      <c r="IQ39" s="134">
        <v>1</v>
      </c>
      <c r="IR39" s="46">
        <f t="shared" si="83"/>
        <v>62.962962962962962</v>
      </c>
    </row>
    <row r="40" spans="1:270" x14ac:dyDescent="0.2">
      <c r="A40" s="109" t="s">
        <v>197</v>
      </c>
      <c r="B40" s="110">
        <v>42</v>
      </c>
      <c r="C40" s="110">
        <v>0</v>
      </c>
      <c r="D40" s="72">
        <f t="shared" si="4"/>
        <v>42</v>
      </c>
      <c r="E40" s="110">
        <v>9</v>
      </c>
      <c r="F40" s="110">
        <v>0</v>
      </c>
      <c r="G40" s="72">
        <f t="shared" si="5"/>
        <v>33</v>
      </c>
      <c r="H40" s="110">
        <v>11</v>
      </c>
      <c r="I40" s="111">
        <f>(E40/B40)*100</f>
        <v>21.428571428571427</v>
      </c>
      <c r="S40" s="120" t="s">
        <v>197</v>
      </c>
      <c r="T40" s="121">
        <v>20</v>
      </c>
      <c r="U40" s="121">
        <v>0</v>
      </c>
      <c r="V40" s="10">
        <f t="shared" si="10"/>
        <v>20</v>
      </c>
      <c r="W40" s="121">
        <v>9</v>
      </c>
      <c r="X40" s="121">
        <v>0</v>
      </c>
      <c r="Y40" s="74">
        <f t="shared" si="11"/>
        <v>11</v>
      </c>
      <c r="Z40" s="121">
        <v>7</v>
      </c>
      <c r="AA40" s="111">
        <f t="shared" si="108"/>
        <v>45</v>
      </c>
      <c r="AB40" s="112" t="s">
        <v>199</v>
      </c>
      <c r="AC40" s="122">
        <v>21</v>
      </c>
      <c r="AD40" s="122">
        <v>7</v>
      </c>
      <c r="AE40" s="76">
        <f t="shared" si="13"/>
        <v>28</v>
      </c>
      <c r="AF40" s="122">
        <v>17</v>
      </c>
      <c r="AG40" s="122">
        <v>0</v>
      </c>
      <c r="AH40" s="76">
        <f t="shared" si="14"/>
        <v>11</v>
      </c>
      <c r="AI40" s="122">
        <v>2</v>
      </c>
      <c r="AJ40" s="128">
        <f t="shared" si="105"/>
        <v>60.714285714285708</v>
      </c>
      <c r="AS40" s="17"/>
      <c r="CD40" s="9" t="s">
        <v>0</v>
      </c>
      <c r="CE40" s="47">
        <v>32</v>
      </c>
      <c r="CF40" s="47">
        <v>8</v>
      </c>
      <c r="CG40" s="76">
        <f t="shared" si="31"/>
        <v>40</v>
      </c>
      <c r="CH40" s="47">
        <v>24</v>
      </c>
      <c r="CI40" s="47">
        <v>0</v>
      </c>
      <c r="CJ40" s="76">
        <f t="shared" si="32"/>
        <v>16</v>
      </c>
      <c r="CK40" s="47">
        <v>0</v>
      </c>
      <c r="CL40" s="46">
        <f t="shared" si="33"/>
        <v>60</v>
      </c>
      <c r="CM40" s="19"/>
      <c r="CN40" s="49"/>
      <c r="CO40" s="49"/>
      <c r="CP40" s="49"/>
      <c r="CQ40" s="49"/>
      <c r="CR40" s="49"/>
      <c r="CS40" s="49"/>
      <c r="CT40" s="49"/>
      <c r="CU40" s="11"/>
      <c r="CV40" s="11"/>
      <c r="CW40" s="49"/>
      <c r="CX40" s="49"/>
      <c r="CY40" s="49"/>
      <c r="CZ40" s="49"/>
      <c r="DA40" s="49"/>
      <c r="DB40" s="49"/>
      <c r="DC40" s="49"/>
      <c r="DD40" s="19"/>
      <c r="EF40" s="137" t="s">
        <v>204</v>
      </c>
      <c r="EG40" s="138">
        <v>18</v>
      </c>
      <c r="EH40" s="138">
        <v>0</v>
      </c>
      <c r="EI40" s="34">
        <f t="shared" si="49"/>
        <v>18</v>
      </c>
      <c r="EJ40" s="138">
        <v>15</v>
      </c>
      <c r="EK40" s="138">
        <v>0</v>
      </c>
      <c r="EL40" s="34">
        <f t="shared" si="50"/>
        <v>3</v>
      </c>
      <c r="EM40" s="138">
        <v>0</v>
      </c>
      <c r="EN40" s="139">
        <f t="shared" si="91"/>
        <v>83.333333333333343</v>
      </c>
      <c r="EY40" s="84"/>
      <c r="EZ40" s="84"/>
      <c r="FA40" s="84"/>
      <c r="FB40" s="84"/>
      <c r="FC40" s="84"/>
      <c r="FD40" s="84"/>
      <c r="FE40" s="84"/>
      <c r="FF40" s="84"/>
      <c r="FP40" s="11"/>
      <c r="FQ40" s="80"/>
      <c r="FT40" s="80"/>
      <c r="FW40" s="80"/>
      <c r="FX40" s="11"/>
      <c r="FZ40" s="39"/>
      <c r="GA40" s="39"/>
      <c r="GB40" s="39"/>
      <c r="GC40" s="39"/>
      <c r="GD40" s="37"/>
      <c r="GE40" s="37"/>
      <c r="GO40" s="16"/>
      <c r="HI40" s="103" t="s">
        <v>202</v>
      </c>
      <c r="HJ40" s="104">
        <v>30</v>
      </c>
      <c r="HK40" s="104">
        <v>0</v>
      </c>
      <c r="HL40" s="3">
        <f t="shared" si="73"/>
        <v>30</v>
      </c>
      <c r="HM40" s="104">
        <v>11</v>
      </c>
      <c r="HN40" s="104">
        <v>0</v>
      </c>
      <c r="HO40" s="3">
        <f t="shared" si="74"/>
        <v>19</v>
      </c>
      <c r="HP40" s="104">
        <v>12</v>
      </c>
      <c r="HQ40" s="105">
        <f t="shared" si="3"/>
        <v>36.666666666666664</v>
      </c>
      <c r="HZ40" s="19"/>
      <c r="IJ40" s="133" t="s">
        <v>198</v>
      </c>
      <c r="IK40" s="134">
        <v>20</v>
      </c>
      <c r="IL40" s="134">
        <v>4</v>
      </c>
      <c r="IM40" s="3">
        <f t="shared" si="81"/>
        <v>24</v>
      </c>
      <c r="IN40" s="134">
        <v>12</v>
      </c>
      <c r="IO40" s="134">
        <v>0</v>
      </c>
      <c r="IP40" s="3">
        <f t="shared" si="82"/>
        <v>12</v>
      </c>
      <c r="IQ40" s="134">
        <v>4</v>
      </c>
      <c r="IR40" s="46">
        <f t="shared" si="83"/>
        <v>50</v>
      </c>
    </row>
    <row r="41" spans="1:270" x14ac:dyDescent="0.2">
      <c r="A41" s="109" t="s">
        <v>197</v>
      </c>
      <c r="B41" s="110">
        <v>33</v>
      </c>
      <c r="C41" s="110">
        <v>0</v>
      </c>
      <c r="D41" s="72">
        <f t="shared" si="4"/>
        <v>33</v>
      </c>
      <c r="E41" s="110">
        <v>8</v>
      </c>
      <c r="F41" s="110">
        <v>0</v>
      </c>
      <c r="G41" s="72">
        <f t="shared" si="5"/>
        <v>25</v>
      </c>
      <c r="H41" s="110">
        <v>14</v>
      </c>
      <c r="I41" s="111">
        <f t="shared" ref="I41:I59" si="110">(E41/B41)*100</f>
        <v>24.242424242424242</v>
      </c>
      <c r="S41" s="120" t="s">
        <v>197</v>
      </c>
      <c r="T41" s="121">
        <v>29</v>
      </c>
      <c r="U41" s="121">
        <v>0</v>
      </c>
      <c r="V41" s="10">
        <f t="shared" si="10"/>
        <v>29</v>
      </c>
      <c r="W41" s="121">
        <v>11</v>
      </c>
      <c r="X41" s="121">
        <v>0</v>
      </c>
      <c r="Y41" s="74">
        <f t="shared" si="11"/>
        <v>18</v>
      </c>
      <c r="Z41" s="121">
        <v>11</v>
      </c>
      <c r="AA41" s="111">
        <f t="shared" si="108"/>
        <v>37.931034482758619</v>
      </c>
      <c r="AB41" s="112" t="s">
        <v>199</v>
      </c>
      <c r="AC41" s="122">
        <v>18</v>
      </c>
      <c r="AD41" s="122">
        <v>5</v>
      </c>
      <c r="AE41" s="76">
        <f t="shared" si="13"/>
        <v>23</v>
      </c>
      <c r="AF41" s="122">
        <v>15</v>
      </c>
      <c r="AG41" s="122">
        <v>0</v>
      </c>
      <c r="AH41" s="76">
        <f t="shared" si="14"/>
        <v>8</v>
      </c>
      <c r="AI41" s="122">
        <v>3</v>
      </c>
      <c r="AJ41" s="128">
        <f t="shared" si="105"/>
        <v>65.217391304347828</v>
      </c>
      <c r="AS41" s="17"/>
      <c r="CD41" s="9" t="s">
        <v>0</v>
      </c>
      <c r="CE41" s="47">
        <v>39</v>
      </c>
      <c r="CF41" s="47">
        <v>10</v>
      </c>
      <c r="CG41" s="76">
        <f t="shared" si="31"/>
        <v>49</v>
      </c>
      <c r="CH41" s="47">
        <v>29</v>
      </c>
      <c r="CI41" s="47">
        <v>0</v>
      </c>
      <c r="CJ41" s="76">
        <f t="shared" si="32"/>
        <v>20</v>
      </c>
      <c r="CK41" s="47">
        <v>0</v>
      </c>
      <c r="CL41" s="46">
        <f t="shared" si="33"/>
        <v>59.183673469387756</v>
      </c>
      <c r="CM41" s="19"/>
      <c r="CN41" s="49"/>
      <c r="CO41" s="49"/>
      <c r="CP41" s="49"/>
      <c r="CQ41" s="49"/>
      <c r="CR41" s="49"/>
      <c r="CS41" s="49"/>
      <c r="CT41" s="49"/>
      <c r="CU41" s="11"/>
      <c r="CV41" s="11"/>
      <c r="CW41" s="49"/>
      <c r="CX41" s="49"/>
      <c r="CY41" s="49"/>
      <c r="CZ41" s="49"/>
      <c r="DA41" s="49"/>
      <c r="DB41" s="49"/>
      <c r="DC41" s="49"/>
      <c r="DD41" s="19"/>
      <c r="EF41" s="137" t="s">
        <v>204</v>
      </c>
      <c r="EG41" s="138">
        <v>17</v>
      </c>
      <c r="EH41" s="138">
        <v>1</v>
      </c>
      <c r="EI41" s="34">
        <f t="shared" si="49"/>
        <v>18</v>
      </c>
      <c r="EJ41" s="138">
        <v>12</v>
      </c>
      <c r="EK41" s="138">
        <v>0</v>
      </c>
      <c r="EL41" s="34">
        <f t="shared" si="50"/>
        <v>6</v>
      </c>
      <c r="EM41" s="138">
        <v>1</v>
      </c>
      <c r="EN41" s="139">
        <f t="shared" si="91"/>
        <v>66.666666666666657</v>
      </c>
      <c r="FP41" s="11"/>
      <c r="FQ41" s="80"/>
      <c r="FT41" s="80"/>
      <c r="FW41" s="80"/>
      <c r="FX41" s="11"/>
      <c r="GO41" s="16"/>
      <c r="HI41" s="103" t="s">
        <v>202</v>
      </c>
      <c r="HJ41" s="104">
        <v>20</v>
      </c>
      <c r="HK41" s="104">
        <v>0</v>
      </c>
      <c r="HL41" s="3">
        <f t="shared" si="73"/>
        <v>20</v>
      </c>
      <c r="HM41" s="104">
        <v>5</v>
      </c>
      <c r="HN41" s="104">
        <v>0</v>
      </c>
      <c r="HO41" s="3">
        <f t="shared" si="74"/>
        <v>15</v>
      </c>
      <c r="HP41" s="104">
        <v>11</v>
      </c>
      <c r="HQ41" s="105">
        <f>(HM41/HJ41)*100</f>
        <v>25</v>
      </c>
      <c r="HU41" s="3"/>
      <c r="HX41" s="3"/>
      <c r="HZ41" s="19"/>
    </row>
    <row r="42" spans="1:270" x14ac:dyDescent="0.2">
      <c r="A42" s="109" t="s">
        <v>197</v>
      </c>
      <c r="B42" s="110">
        <v>30</v>
      </c>
      <c r="C42" s="110">
        <v>0</v>
      </c>
      <c r="D42" s="72">
        <f t="shared" si="4"/>
        <v>30</v>
      </c>
      <c r="E42" s="110">
        <v>8</v>
      </c>
      <c r="F42" s="110">
        <v>0</v>
      </c>
      <c r="G42" s="72">
        <f t="shared" si="5"/>
        <v>22</v>
      </c>
      <c r="H42" s="110">
        <v>8</v>
      </c>
      <c r="I42" s="111">
        <f t="shared" si="110"/>
        <v>26.666666666666668</v>
      </c>
      <c r="R42" s="17"/>
      <c r="S42" s="120" t="s">
        <v>197</v>
      </c>
      <c r="T42" s="121">
        <v>30</v>
      </c>
      <c r="U42" s="121">
        <v>0</v>
      </c>
      <c r="V42" s="10">
        <f t="shared" si="10"/>
        <v>30</v>
      </c>
      <c r="W42" s="121">
        <v>9</v>
      </c>
      <c r="X42" s="121">
        <v>0</v>
      </c>
      <c r="Y42" s="74">
        <f t="shared" si="11"/>
        <v>21</v>
      </c>
      <c r="Z42" s="121">
        <v>7</v>
      </c>
      <c r="AA42" s="111">
        <f t="shared" si="108"/>
        <v>30</v>
      </c>
      <c r="AB42" s="115" t="s">
        <v>200</v>
      </c>
      <c r="AC42" s="62">
        <v>24</v>
      </c>
      <c r="AD42" s="62">
        <v>4</v>
      </c>
      <c r="AE42" s="76">
        <f t="shared" si="13"/>
        <v>28</v>
      </c>
      <c r="AF42" s="62">
        <v>19</v>
      </c>
      <c r="AG42" s="62">
        <v>0</v>
      </c>
      <c r="AH42" s="76">
        <f t="shared" si="14"/>
        <v>9</v>
      </c>
      <c r="AI42" s="62">
        <v>3</v>
      </c>
      <c r="AJ42" s="129">
        <f t="shared" si="105"/>
        <v>67.857142857142861</v>
      </c>
      <c r="AS42" s="17"/>
      <c r="CD42" s="9" t="s">
        <v>0</v>
      </c>
      <c r="CE42" s="47">
        <v>28</v>
      </c>
      <c r="CF42" s="47">
        <v>21</v>
      </c>
      <c r="CG42" s="76">
        <f t="shared" si="31"/>
        <v>49</v>
      </c>
      <c r="CH42" s="47">
        <v>23</v>
      </c>
      <c r="CI42" s="47">
        <v>0</v>
      </c>
      <c r="CJ42" s="76">
        <f t="shared" si="32"/>
        <v>26</v>
      </c>
      <c r="CK42" s="47">
        <v>0</v>
      </c>
      <c r="CL42" s="46">
        <f t="shared" si="33"/>
        <v>46.938775510204081</v>
      </c>
      <c r="CM42" s="19"/>
      <c r="CN42" s="49"/>
      <c r="CO42" s="49"/>
      <c r="CP42" s="49"/>
      <c r="CQ42" s="49"/>
      <c r="CR42" s="49"/>
      <c r="CS42" s="49"/>
      <c r="CT42" s="49"/>
      <c r="CU42" s="11"/>
      <c r="CV42" s="11"/>
      <c r="CW42" s="49"/>
      <c r="CX42" s="49"/>
      <c r="CY42" s="49"/>
      <c r="CZ42" s="49"/>
      <c r="DA42" s="49"/>
      <c r="DB42" s="49"/>
      <c r="DC42" s="49"/>
      <c r="DD42" s="19"/>
      <c r="EF42" s="137" t="s">
        <v>204</v>
      </c>
      <c r="EG42" s="138">
        <v>15</v>
      </c>
      <c r="EH42" s="138">
        <v>2</v>
      </c>
      <c r="EI42" s="34">
        <f t="shared" si="49"/>
        <v>17</v>
      </c>
      <c r="EJ42" s="138">
        <v>9</v>
      </c>
      <c r="EK42" s="138">
        <v>0</v>
      </c>
      <c r="EL42" s="34">
        <f t="shared" si="50"/>
        <v>8</v>
      </c>
      <c r="EM42" s="138">
        <v>1</v>
      </c>
      <c r="EN42" s="139">
        <f t="shared" si="91"/>
        <v>52.941176470588239</v>
      </c>
      <c r="EO42" s="58"/>
      <c r="EP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P42" s="11"/>
      <c r="FQ42" s="80"/>
      <c r="FT42" s="80"/>
      <c r="FW42" s="80"/>
      <c r="FX42" s="11"/>
      <c r="GO42" s="16"/>
      <c r="HI42" s="103" t="s">
        <v>202</v>
      </c>
      <c r="HJ42" s="104">
        <v>25</v>
      </c>
      <c r="HK42" s="104">
        <v>0</v>
      </c>
      <c r="HL42" s="3">
        <f t="shared" si="73"/>
        <v>25</v>
      </c>
      <c r="HM42" s="104">
        <v>7</v>
      </c>
      <c r="HN42" s="104">
        <v>0</v>
      </c>
      <c r="HO42" s="3">
        <f t="shared" si="74"/>
        <v>18</v>
      </c>
      <c r="HP42" s="104">
        <v>16</v>
      </c>
      <c r="HQ42" s="105">
        <f>(HM42/HJ42)*100</f>
        <v>28.000000000000004</v>
      </c>
      <c r="HR42" s="103"/>
      <c r="IM42" s="126"/>
      <c r="IP42" s="126"/>
    </row>
    <row r="43" spans="1:270" x14ac:dyDescent="0.2">
      <c r="A43" s="112" t="s">
        <v>199</v>
      </c>
      <c r="B43" s="113">
        <v>34</v>
      </c>
      <c r="C43" s="113">
        <v>0</v>
      </c>
      <c r="D43" s="72">
        <f t="shared" si="4"/>
        <v>34</v>
      </c>
      <c r="E43" s="113">
        <v>6</v>
      </c>
      <c r="F43" s="113">
        <v>0</v>
      </c>
      <c r="G43" s="72">
        <f t="shared" si="5"/>
        <v>28</v>
      </c>
      <c r="H43" s="113">
        <v>8</v>
      </c>
      <c r="I43" s="100">
        <f t="shared" si="110"/>
        <v>17.647058823529413</v>
      </c>
      <c r="S43" s="120" t="s">
        <v>197</v>
      </c>
      <c r="T43" s="121">
        <v>31</v>
      </c>
      <c r="U43" s="121">
        <v>0</v>
      </c>
      <c r="V43" s="10">
        <f t="shared" si="10"/>
        <v>31</v>
      </c>
      <c r="W43" s="121">
        <v>16</v>
      </c>
      <c r="X43" s="121">
        <v>0</v>
      </c>
      <c r="Y43" s="74">
        <f t="shared" si="11"/>
        <v>15</v>
      </c>
      <c r="Z43" s="121">
        <v>7</v>
      </c>
      <c r="AA43" s="111">
        <f t="shared" si="108"/>
        <v>51.612903225806448</v>
      </c>
      <c r="AB43" s="115" t="s">
        <v>200</v>
      </c>
      <c r="AC43" s="62">
        <v>19</v>
      </c>
      <c r="AD43" s="62">
        <v>4</v>
      </c>
      <c r="AE43" s="76">
        <f t="shared" si="13"/>
        <v>23</v>
      </c>
      <c r="AF43" s="62">
        <v>16</v>
      </c>
      <c r="AG43" s="62">
        <v>0</v>
      </c>
      <c r="AH43" s="76">
        <f t="shared" si="14"/>
        <v>7</v>
      </c>
      <c r="AI43" s="62">
        <v>0</v>
      </c>
      <c r="AJ43" s="129">
        <f t="shared" si="105"/>
        <v>69.565217391304344</v>
      </c>
      <c r="AS43" s="17"/>
      <c r="CD43" s="140" t="s">
        <v>205</v>
      </c>
      <c r="CE43" s="141">
        <v>33</v>
      </c>
      <c r="CF43" s="141">
        <v>13</v>
      </c>
      <c r="CG43" s="76">
        <f t="shared" si="31"/>
        <v>46</v>
      </c>
      <c r="CH43" s="141">
        <v>26</v>
      </c>
      <c r="CI43" s="141">
        <v>0</v>
      </c>
      <c r="CJ43" s="76">
        <f t="shared" si="32"/>
        <v>20</v>
      </c>
      <c r="CK43" s="141">
        <v>0</v>
      </c>
      <c r="CL43" s="142">
        <f t="shared" si="33"/>
        <v>56.521739130434781</v>
      </c>
      <c r="EF43" s="137" t="s">
        <v>204</v>
      </c>
      <c r="EG43" s="138">
        <v>16</v>
      </c>
      <c r="EH43" s="138">
        <v>1</v>
      </c>
      <c r="EI43" s="34">
        <f t="shared" si="49"/>
        <v>17</v>
      </c>
      <c r="EJ43" s="138">
        <v>12</v>
      </c>
      <c r="EK43" s="138">
        <v>0</v>
      </c>
      <c r="EL43" s="34">
        <f t="shared" si="50"/>
        <v>5</v>
      </c>
      <c r="EM43" s="138">
        <v>1</v>
      </c>
      <c r="EN43" s="139">
        <f t="shared" ref="EN43" si="111">(EJ43/(EG43+EH43))*100</f>
        <v>70.588235294117652</v>
      </c>
      <c r="EO43" s="11"/>
      <c r="EP43" s="49"/>
      <c r="ES43" s="49"/>
      <c r="ET43" s="49"/>
      <c r="EU43" s="49"/>
      <c r="EV43" s="49"/>
      <c r="EW43" s="11"/>
      <c r="EX43" s="11"/>
      <c r="EY43" s="26"/>
      <c r="EZ43" s="26"/>
      <c r="FA43" s="26"/>
      <c r="FB43" s="49"/>
      <c r="FC43" s="49"/>
      <c r="FD43" s="49"/>
      <c r="FE43" s="49"/>
      <c r="FF43" s="59"/>
      <c r="FG43" s="11"/>
      <c r="FP43" s="11"/>
      <c r="FQ43" s="80"/>
      <c r="FT43" s="80"/>
      <c r="FW43" s="80"/>
      <c r="FX43" s="11"/>
      <c r="FZ43" s="39"/>
      <c r="GA43" s="39"/>
      <c r="GB43" s="39"/>
      <c r="GC43" s="39"/>
      <c r="GD43" s="39"/>
      <c r="GE43" s="39"/>
      <c r="GO43" s="16"/>
      <c r="HR43" s="5"/>
      <c r="IN43" s="1"/>
      <c r="IR43" s="17"/>
    </row>
    <row r="44" spans="1:270" x14ac:dyDescent="0.2">
      <c r="A44" s="112" t="s">
        <v>199</v>
      </c>
      <c r="B44" s="113">
        <v>31</v>
      </c>
      <c r="C44" s="113">
        <v>0</v>
      </c>
      <c r="D44" s="72">
        <f t="shared" si="4"/>
        <v>31</v>
      </c>
      <c r="E44" s="113">
        <v>7</v>
      </c>
      <c r="F44" s="113">
        <v>0</v>
      </c>
      <c r="G44" s="72">
        <f t="shared" si="5"/>
        <v>24</v>
      </c>
      <c r="H44" s="113">
        <v>4</v>
      </c>
      <c r="I44" s="100">
        <f t="shared" si="110"/>
        <v>22.58064516129032</v>
      </c>
      <c r="S44" s="120" t="s">
        <v>197</v>
      </c>
      <c r="T44" s="121">
        <v>37</v>
      </c>
      <c r="U44" s="121">
        <v>0</v>
      </c>
      <c r="V44" s="10">
        <f t="shared" si="10"/>
        <v>37</v>
      </c>
      <c r="W44" s="121">
        <v>21</v>
      </c>
      <c r="X44" s="121">
        <v>0</v>
      </c>
      <c r="Y44" s="74">
        <f t="shared" si="11"/>
        <v>16</v>
      </c>
      <c r="Z44" s="121">
        <v>11</v>
      </c>
      <c r="AA44" s="111">
        <f t="shared" si="108"/>
        <v>56.756756756756758</v>
      </c>
      <c r="AB44" s="115" t="s">
        <v>200</v>
      </c>
      <c r="AC44" s="62">
        <v>24</v>
      </c>
      <c r="AD44" s="62">
        <v>3</v>
      </c>
      <c r="AE44" s="76">
        <f t="shared" si="13"/>
        <v>27</v>
      </c>
      <c r="AF44" s="62">
        <v>20</v>
      </c>
      <c r="AG44" s="62">
        <v>0</v>
      </c>
      <c r="AH44" s="76">
        <f t="shared" si="14"/>
        <v>7</v>
      </c>
      <c r="AI44" s="62">
        <v>1</v>
      </c>
      <c r="AJ44" s="129">
        <f t="shared" si="105"/>
        <v>74.074074074074076</v>
      </c>
      <c r="CD44" s="140" t="s">
        <v>205</v>
      </c>
      <c r="CE44" s="141">
        <v>35</v>
      </c>
      <c r="CF44" s="141">
        <v>7</v>
      </c>
      <c r="CG44" s="76">
        <f t="shared" si="31"/>
        <v>42</v>
      </c>
      <c r="CH44" s="141">
        <v>26</v>
      </c>
      <c r="CI44" s="141">
        <v>0</v>
      </c>
      <c r="CJ44" s="76">
        <f t="shared" si="32"/>
        <v>16</v>
      </c>
      <c r="CK44" s="141">
        <v>0</v>
      </c>
      <c r="CL44" s="142">
        <f t="shared" si="33"/>
        <v>61.904761904761905</v>
      </c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EG44" s="49"/>
      <c r="EJ44" s="49"/>
      <c r="EK44" s="49"/>
      <c r="EL44" s="49"/>
      <c r="EM44" s="49"/>
      <c r="EN44" s="11"/>
      <c r="EO44" s="11"/>
      <c r="EP44" s="49"/>
      <c r="ES44" s="49"/>
      <c r="ET44" s="49"/>
      <c r="EU44" s="49"/>
      <c r="EV44" s="49"/>
      <c r="EW44" s="11"/>
      <c r="EX44" s="11"/>
      <c r="EY44" s="26"/>
      <c r="EZ44" s="26"/>
      <c r="FA44" s="26"/>
      <c r="FB44" s="49"/>
      <c r="FC44" s="49"/>
      <c r="FD44" s="49"/>
      <c r="FE44" s="49"/>
      <c r="FF44" s="59"/>
      <c r="FG44" s="11"/>
      <c r="FP44" s="11"/>
      <c r="FQ44" s="80"/>
      <c r="FT44" s="80"/>
      <c r="FW44" s="80"/>
      <c r="FX44" s="11"/>
      <c r="HL44" s="3"/>
      <c r="HO44" s="3"/>
      <c r="HR44" s="39"/>
    </row>
    <row r="45" spans="1:270" x14ac:dyDescent="0.2">
      <c r="A45" s="112" t="s">
        <v>199</v>
      </c>
      <c r="B45" s="113">
        <v>27</v>
      </c>
      <c r="C45" s="113">
        <v>0</v>
      </c>
      <c r="D45" s="72">
        <f t="shared" si="4"/>
        <v>27</v>
      </c>
      <c r="E45" s="113">
        <v>6</v>
      </c>
      <c r="F45" s="113">
        <v>0</v>
      </c>
      <c r="G45" s="72">
        <f t="shared" si="5"/>
        <v>21</v>
      </c>
      <c r="H45" s="113">
        <v>6</v>
      </c>
      <c r="I45" s="100">
        <f t="shared" si="110"/>
        <v>22.222222222222221</v>
      </c>
      <c r="R45" s="17"/>
      <c r="S45" s="120" t="s">
        <v>197</v>
      </c>
      <c r="T45" s="121">
        <v>31</v>
      </c>
      <c r="U45" s="121">
        <v>0</v>
      </c>
      <c r="V45" s="10">
        <f t="shared" si="10"/>
        <v>31</v>
      </c>
      <c r="W45" s="121">
        <v>8</v>
      </c>
      <c r="X45" s="121">
        <v>0</v>
      </c>
      <c r="Y45" s="74">
        <f t="shared" si="11"/>
        <v>23</v>
      </c>
      <c r="Z45" s="121">
        <v>11</v>
      </c>
      <c r="AA45" s="111">
        <f t="shared" si="108"/>
        <v>25.806451612903224</v>
      </c>
      <c r="AB45" s="115" t="s">
        <v>200</v>
      </c>
      <c r="AC45" s="62">
        <v>21</v>
      </c>
      <c r="AD45" s="62">
        <v>2</v>
      </c>
      <c r="AE45" s="76">
        <f t="shared" si="13"/>
        <v>23</v>
      </c>
      <c r="AF45" s="62">
        <v>19</v>
      </c>
      <c r="AG45" s="62">
        <v>0</v>
      </c>
      <c r="AH45" s="76">
        <f t="shared" si="14"/>
        <v>4</v>
      </c>
      <c r="AI45" s="62">
        <v>2</v>
      </c>
      <c r="AJ45" s="129">
        <f t="shared" si="105"/>
        <v>82.608695652173907</v>
      </c>
      <c r="CD45" s="140" t="s">
        <v>205</v>
      </c>
      <c r="CE45" s="141">
        <v>45</v>
      </c>
      <c r="CF45" s="141">
        <v>15</v>
      </c>
      <c r="CG45" s="76">
        <f t="shared" si="31"/>
        <v>60</v>
      </c>
      <c r="CH45" s="141">
        <v>35</v>
      </c>
      <c r="CI45" s="141">
        <v>0</v>
      </c>
      <c r="CJ45" s="76">
        <f t="shared" si="32"/>
        <v>25</v>
      </c>
      <c r="CK45" s="141">
        <v>1</v>
      </c>
      <c r="CL45" s="142">
        <f t="shared" si="33"/>
        <v>58.333333333333336</v>
      </c>
      <c r="EG45" s="49"/>
      <c r="EH45" s="49"/>
      <c r="EI45" s="49"/>
      <c r="EJ45" s="49"/>
      <c r="EK45" s="49"/>
      <c r="EL45" s="49"/>
      <c r="EM45" s="49"/>
      <c r="EN45" s="49"/>
      <c r="EO45" s="11"/>
      <c r="EP45" s="49"/>
      <c r="ES45" s="49"/>
      <c r="ET45" s="49"/>
      <c r="EU45" s="49"/>
      <c r="EV45" s="49"/>
      <c r="EW45" s="11"/>
      <c r="EX45" s="11"/>
      <c r="EY45" s="26"/>
      <c r="EZ45" s="26"/>
      <c r="FA45" s="26"/>
      <c r="FB45" s="49"/>
      <c r="FC45" s="49"/>
      <c r="FD45" s="49"/>
      <c r="FE45" s="49"/>
      <c r="FF45" s="59"/>
      <c r="FG45" s="11"/>
      <c r="FP45" s="11"/>
      <c r="FQ45" s="80"/>
      <c r="FT45" s="80"/>
      <c r="FW45" s="80"/>
      <c r="FX45" s="11"/>
      <c r="HI45" s="103"/>
      <c r="HR45" s="103"/>
    </row>
    <row r="46" spans="1:270" x14ac:dyDescent="0.2">
      <c r="A46" s="112" t="s">
        <v>199</v>
      </c>
      <c r="B46" s="113">
        <v>35</v>
      </c>
      <c r="C46" s="113">
        <v>0</v>
      </c>
      <c r="D46" s="72">
        <f t="shared" si="4"/>
        <v>35</v>
      </c>
      <c r="E46" s="113">
        <v>9</v>
      </c>
      <c r="F46" s="113">
        <v>0</v>
      </c>
      <c r="G46" s="72">
        <f t="shared" si="5"/>
        <v>26</v>
      </c>
      <c r="H46" s="113">
        <v>14</v>
      </c>
      <c r="I46" s="100">
        <f t="shared" si="110"/>
        <v>25.714285714285712</v>
      </c>
      <c r="J46" s="29"/>
      <c r="K46" s="29"/>
      <c r="L46" s="29"/>
      <c r="M46" s="29"/>
      <c r="N46" s="29"/>
      <c r="O46" s="29"/>
      <c r="P46" s="29"/>
      <c r="Q46" s="29"/>
      <c r="R46" s="29"/>
      <c r="S46" s="120" t="s">
        <v>197</v>
      </c>
      <c r="T46" s="121">
        <v>31</v>
      </c>
      <c r="U46" s="121">
        <v>0</v>
      </c>
      <c r="V46" s="10">
        <f t="shared" si="10"/>
        <v>31</v>
      </c>
      <c r="W46" s="121">
        <v>11</v>
      </c>
      <c r="X46" s="121">
        <v>0</v>
      </c>
      <c r="Y46" s="74">
        <f t="shared" si="11"/>
        <v>20</v>
      </c>
      <c r="Z46" s="121">
        <v>6</v>
      </c>
      <c r="AA46" s="111">
        <f t="shared" si="108"/>
        <v>35.483870967741936</v>
      </c>
      <c r="AB46" s="115" t="s">
        <v>200</v>
      </c>
      <c r="AC46" s="62">
        <v>20</v>
      </c>
      <c r="AD46" s="62">
        <v>2</v>
      </c>
      <c r="AE46" s="76">
        <f t="shared" si="13"/>
        <v>22</v>
      </c>
      <c r="AF46" s="62">
        <v>17</v>
      </c>
      <c r="AG46" s="62">
        <v>0</v>
      </c>
      <c r="AH46" s="76">
        <f t="shared" si="14"/>
        <v>5</v>
      </c>
      <c r="AI46" s="62">
        <v>0</v>
      </c>
      <c r="AJ46" s="129">
        <f t="shared" si="105"/>
        <v>77.272727272727266</v>
      </c>
      <c r="CD46" s="140" t="s">
        <v>205</v>
      </c>
      <c r="CE46" s="141">
        <v>28</v>
      </c>
      <c r="CF46" s="141">
        <v>9</v>
      </c>
      <c r="CG46" s="76">
        <f t="shared" si="31"/>
        <v>37</v>
      </c>
      <c r="CH46" s="141">
        <v>22</v>
      </c>
      <c r="CI46" s="141">
        <v>0</v>
      </c>
      <c r="CJ46" s="76">
        <f t="shared" si="32"/>
        <v>15</v>
      </c>
      <c r="CK46" s="141">
        <v>0</v>
      </c>
      <c r="CL46" s="142">
        <f t="shared" si="33"/>
        <v>59.45945945945946</v>
      </c>
      <c r="DD46" s="53"/>
      <c r="EG46" s="49"/>
      <c r="EH46" s="49"/>
      <c r="EI46" s="49"/>
      <c r="EJ46" s="49"/>
      <c r="EK46" s="49"/>
      <c r="EL46" s="49"/>
      <c r="EM46" s="49"/>
      <c r="EN46" s="49"/>
      <c r="EO46" s="11"/>
      <c r="EP46" s="49"/>
      <c r="ES46" s="49"/>
      <c r="ET46" s="49"/>
      <c r="EU46" s="49"/>
      <c r="EV46" s="49"/>
      <c r="EW46" s="11"/>
      <c r="EX46" s="11"/>
      <c r="EY46" s="26"/>
      <c r="EZ46" s="26"/>
      <c r="FA46" s="26"/>
      <c r="FB46" s="49"/>
      <c r="FC46" s="49"/>
      <c r="FD46" s="49"/>
      <c r="FE46" s="49"/>
      <c r="FF46" s="59"/>
      <c r="FG46" s="11"/>
      <c r="HI46" s="5"/>
      <c r="HZ46" s="19"/>
    </row>
    <row r="47" spans="1:270" x14ac:dyDescent="0.2">
      <c r="A47" s="112" t="s">
        <v>199</v>
      </c>
      <c r="B47" s="113">
        <v>42</v>
      </c>
      <c r="C47" s="113">
        <v>0</v>
      </c>
      <c r="D47" s="72">
        <f t="shared" si="4"/>
        <v>42</v>
      </c>
      <c r="E47" s="113">
        <v>10</v>
      </c>
      <c r="F47" s="113">
        <v>0</v>
      </c>
      <c r="G47" s="72">
        <f t="shared" si="5"/>
        <v>32</v>
      </c>
      <c r="H47" s="113">
        <v>11</v>
      </c>
      <c r="I47" s="100">
        <f t="shared" si="110"/>
        <v>23.809523809523807</v>
      </c>
      <c r="R47" s="17"/>
      <c r="S47" s="102" t="s">
        <v>199</v>
      </c>
      <c r="T47" s="122">
        <v>24</v>
      </c>
      <c r="U47" s="122">
        <v>0</v>
      </c>
      <c r="V47" s="10">
        <f t="shared" si="10"/>
        <v>24</v>
      </c>
      <c r="W47" s="122">
        <v>10</v>
      </c>
      <c r="X47" s="122">
        <v>0</v>
      </c>
      <c r="Y47" s="74">
        <f t="shared" si="11"/>
        <v>14</v>
      </c>
      <c r="Z47" s="122">
        <v>3</v>
      </c>
      <c r="AA47" s="100">
        <f t="shared" si="108"/>
        <v>41.666666666666671</v>
      </c>
      <c r="CD47" s="140" t="s">
        <v>205</v>
      </c>
      <c r="CE47" s="141">
        <v>38</v>
      </c>
      <c r="CF47" s="141">
        <v>6</v>
      </c>
      <c r="CG47" s="76">
        <f t="shared" si="31"/>
        <v>44</v>
      </c>
      <c r="CH47" s="141">
        <v>30</v>
      </c>
      <c r="CI47" s="141">
        <v>0</v>
      </c>
      <c r="CJ47" s="76">
        <f t="shared" si="32"/>
        <v>14</v>
      </c>
      <c r="CK47" s="141">
        <v>0</v>
      </c>
      <c r="CL47" s="142">
        <f t="shared" si="33"/>
        <v>68.181818181818173</v>
      </c>
      <c r="EG47" s="49"/>
      <c r="EJ47" s="49"/>
      <c r="EK47" s="49"/>
      <c r="EL47" s="49"/>
      <c r="EM47" s="49"/>
      <c r="EN47" s="11"/>
      <c r="EO47" s="11"/>
      <c r="EP47" s="49"/>
      <c r="ES47" s="49"/>
      <c r="ET47" s="49"/>
      <c r="EU47" s="49"/>
      <c r="EV47" s="49"/>
      <c r="EW47" s="11"/>
      <c r="EX47" s="11"/>
      <c r="EY47" s="26"/>
      <c r="EZ47" s="26"/>
      <c r="FA47" s="26"/>
      <c r="FB47" s="49"/>
      <c r="FC47" s="49"/>
      <c r="FD47" s="49"/>
      <c r="FE47" s="49"/>
      <c r="FF47" s="59"/>
      <c r="FG47" s="11"/>
      <c r="HI47" s="39"/>
    </row>
    <row r="48" spans="1:270" x14ac:dyDescent="0.2">
      <c r="A48" s="112" t="s">
        <v>199</v>
      </c>
      <c r="B48" s="113">
        <v>29</v>
      </c>
      <c r="C48" s="113">
        <v>0</v>
      </c>
      <c r="D48" s="72">
        <f t="shared" si="4"/>
        <v>29</v>
      </c>
      <c r="E48" s="113">
        <v>6</v>
      </c>
      <c r="F48" s="113">
        <v>0</v>
      </c>
      <c r="G48" s="72">
        <f t="shared" si="5"/>
        <v>23</v>
      </c>
      <c r="H48" s="113">
        <v>4</v>
      </c>
      <c r="I48" s="100">
        <f t="shared" si="110"/>
        <v>20.689655172413794</v>
      </c>
      <c r="R48" s="17"/>
      <c r="S48" s="102" t="s">
        <v>199</v>
      </c>
      <c r="T48" s="122">
        <v>24</v>
      </c>
      <c r="U48" s="122">
        <v>0</v>
      </c>
      <c r="V48" s="10">
        <f t="shared" si="10"/>
        <v>24</v>
      </c>
      <c r="W48" s="122">
        <v>7</v>
      </c>
      <c r="X48" s="122">
        <v>0</v>
      </c>
      <c r="Y48" s="74">
        <f t="shared" si="11"/>
        <v>17</v>
      </c>
      <c r="Z48" s="122">
        <v>4</v>
      </c>
      <c r="AA48" s="100">
        <f t="shared" si="108"/>
        <v>29.166666666666668</v>
      </c>
      <c r="CD48" s="140" t="s">
        <v>205</v>
      </c>
      <c r="CE48" s="141">
        <v>29</v>
      </c>
      <c r="CF48" s="141">
        <v>11</v>
      </c>
      <c r="CG48" s="76">
        <f t="shared" si="31"/>
        <v>40</v>
      </c>
      <c r="CH48" s="141">
        <v>22</v>
      </c>
      <c r="CI48" s="141">
        <v>0</v>
      </c>
      <c r="CJ48" s="76">
        <f t="shared" si="32"/>
        <v>18</v>
      </c>
      <c r="CK48" s="141">
        <v>0</v>
      </c>
      <c r="CL48" s="142">
        <f t="shared" si="33"/>
        <v>55.000000000000007</v>
      </c>
      <c r="EG48" s="49"/>
      <c r="EJ48" s="49"/>
      <c r="EK48" s="49"/>
      <c r="EL48" s="49"/>
      <c r="EM48" s="49"/>
      <c r="EN48" s="11"/>
      <c r="EO48" s="11"/>
      <c r="EP48" s="49"/>
      <c r="ES48" s="49"/>
      <c r="ET48" s="49"/>
      <c r="EU48" s="49"/>
      <c r="EV48" s="49"/>
      <c r="EW48" s="11"/>
      <c r="EX48" s="11"/>
      <c r="EY48" s="26"/>
      <c r="EZ48" s="26"/>
      <c r="FA48" s="26"/>
      <c r="FB48" s="49"/>
      <c r="FC48" s="49"/>
      <c r="FD48" s="49"/>
      <c r="FE48" s="49"/>
      <c r="FF48" s="59"/>
      <c r="FG48" s="11"/>
      <c r="HI48" s="103"/>
    </row>
    <row r="49" spans="1:272" x14ac:dyDescent="0.2">
      <c r="A49" s="112" t="s">
        <v>199</v>
      </c>
      <c r="B49" s="113">
        <v>32</v>
      </c>
      <c r="C49" s="113">
        <v>0</v>
      </c>
      <c r="D49" s="72">
        <f t="shared" si="4"/>
        <v>32</v>
      </c>
      <c r="E49" s="113">
        <v>9</v>
      </c>
      <c r="F49" s="113">
        <v>0</v>
      </c>
      <c r="G49" s="72">
        <f t="shared" si="5"/>
        <v>23</v>
      </c>
      <c r="H49" s="113">
        <v>8</v>
      </c>
      <c r="I49" s="100">
        <f t="shared" si="110"/>
        <v>28.125</v>
      </c>
      <c r="S49" s="102" t="s">
        <v>199</v>
      </c>
      <c r="T49" s="123">
        <v>30</v>
      </c>
      <c r="U49" s="123">
        <v>0</v>
      </c>
      <c r="V49" s="10">
        <f t="shared" si="10"/>
        <v>30</v>
      </c>
      <c r="W49" s="123">
        <v>10</v>
      </c>
      <c r="X49" s="123">
        <v>0</v>
      </c>
      <c r="Y49" s="74">
        <f t="shared" si="11"/>
        <v>20</v>
      </c>
      <c r="Z49" s="123">
        <v>11</v>
      </c>
      <c r="AA49" s="124">
        <f t="shared" si="108"/>
        <v>33.333333333333329</v>
      </c>
      <c r="EG49" s="49"/>
      <c r="EJ49" s="49"/>
      <c r="EK49" s="49"/>
      <c r="EL49" s="49"/>
      <c r="EM49" s="49"/>
      <c r="EN49" s="11"/>
      <c r="EO49" s="11"/>
      <c r="EP49" s="49"/>
      <c r="ES49" s="49"/>
      <c r="ET49" s="49"/>
      <c r="EU49" s="49"/>
      <c r="EV49" s="49"/>
      <c r="EW49" s="11"/>
      <c r="EX49" s="11"/>
      <c r="EY49" s="26"/>
      <c r="EZ49" s="26"/>
      <c r="FA49" s="26"/>
      <c r="FB49" s="49"/>
      <c r="FC49" s="49"/>
      <c r="FD49" s="49"/>
      <c r="FE49" s="49"/>
      <c r="FF49" s="59"/>
      <c r="FG49" s="11"/>
    </row>
    <row r="50" spans="1:272" x14ac:dyDescent="0.2">
      <c r="A50" s="112" t="s">
        <v>199</v>
      </c>
      <c r="B50" s="113">
        <v>37</v>
      </c>
      <c r="C50" s="113">
        <v>0</v>
      </c>
      <c r="D50" s="72">
        <f t="shared" si="4"/>
        <v>37</v>
      </c>
      <c r="E50" s="113">
        <v>10</v>
      </c>
      <c r="F50" s="113">
        <v>0</v>
      </c>
      <c r="G50" s="72">
        <f t="shared" si="5"/>
        <v>27</v>
      </c>
      <c r="H50" s="113">
        <v>9</v>
      </c>
      <c r="I50" s="100">
        <f t="shared" si="110"/>
        <v>27.027027027027028</v>
      </c>
      <c r="K50" s="1"/>
      <c r="L50" s="1"/>
      <c r="M50" s="1"/>
      <c r="N50" s="1"/>
      <c r="O50" s="1"/>
      <c r="P50" s="1"/>
      <c r="Q50" s="1"/>
      <c r="R50" s="85"/>
      <c r="S50" s="102" t="s">
        <v>199</v>
      </c>
      <c r="T50" s="123">
        <v>31</v>
      </c>
      <c r="U50" s="123">
        <v>0</v>
      </c>
      <c r="V50" s="10">
        <f t="shared" si="10"/>
        <v>31</v>
      </c>
      <c r="W50" s="123">
        <v>17</v>
      </c>
      <c r="X50" s="123">
        <v>0</v>
      </c>
      <c r="Y50" s="74">
        <f t="shared" si="11"/>
        <v>14</v>
      </c>
      <c r="Z50" s="123">
        <v>3</v>
      </c>
      <c r="AA50" s="124">
        <f t="shared" si="108"/>
        <v>54.838709677419352</v>
      </c>
      <c r="AB50" s="1"/>
      <c r="EG50" s="49"/>
      <c r="EJ50" s="49"/>
      <c r="EK50" s="49"/>
      <c r="EL50" s="49"/>
      <c r="EM50" s="49"/>
      <c r="EN50" s="11"/>
      <c r="EO50" s="11"/>
      <c r="EP50" s="49"/>
      <c r="ES50" s="49"/>
      <c r="ET50" s="49"/>
      <c r="EU50" s="49"/>
      <c r="EV50" s="49"/>
      <c r="EW50" s="11"/>
      <c r="EX50" s="11"/>
      <c r="EY50" s="26"/>
      <c r="EZ50" s="26"/>
      <c r="FA50" s="26"/>
      <c r="FB50" s="49"/>
      <c r="FC50" s="49"/>
      <c r="FD50" s="49"/>
      <c r="FE50" s="49"/>
      <c r="FF50" s="59"/>
      <c r="FG50" s="11"/>
    </row>
    <row r="51" spans="1:272" x14ac:dyDescent="0.2">
      <c r="A51" s="112" t="s">
        <v>199</v>
      </c>
      <c r="B51" s="114">
        <v>32</v>
      </c>
      <c r="C51" s="114">
        <v>0</v>
      </c>
      <c r="D51" s="72">
        <f t="shared" si="4"/>
        <v>32</v>
      </c>
      <c r="E51" s="114">
        <v>6</v>
      </c>
      <c r="F51" s="114">
        <v>0</v>
      </c>
      <c r="G51" s="72">
        <f t="shared" si="5"/>
        <v>26</v>
      </c>
      <c r="H51" s="114">
        <v>7</v>
      </c>
      <c r="I51" s="100">
        <f t="shared" si="110"/>
        <v>18.75</v>
      </c>
      <c r="S51" s="102" t="s">
        <v>199</v>
      </c>
      <c r="T51" s="123">
        <v>30</v>
      </c>
      <c r="U51" s="123">
        <v>0</v>
      </c>
      <c r="V51" s="10">
        <f t="shared" si="10"/>
        <v>30</v>
      </c>
      <c r="W51" s="123">
        <v>12</v>
      </c>
      <c r="X51" s="123">
        <v>0</v>
      </c>
      <c r="Y51" s="74">
        <f t="shared" si="11"/>
        <v>18</v>
      </c>
      <c r="Z51" s="123">
        <v>5</v>
      </c>
      <c r="AA51" s="124">
        <f t="shared" si="108"/>
        <v>40</v>
      </c>
      <c r="EG51" s="49"/>
      <c r="EJ51" s="49"/>
      <c r="EK51" s="49"/>
      <c r="EL51" s="49"/>
      <c r="EM51" s="49"/>
      <c r="EN51" s="11"/>
      <c r="EO51" s="11"/>
      <c r="EP51" s="49"/>
      <c r="ES51" s="49"/>
      <c r="ET51" s="49"/>
      <c r="EU51" s="49"/>
      <c r="EV51" s="49"/>
      <c r="EW51" s="11"/>
      <c r="EX51" s="11"/>
      <c r="EY51" s="26"/>
      <c r="EZ51" s="26"/>
      <c r="FA51" s="26"/>
      <c r="FB51" s="49"/>
      <c r="FC51" s="49"/>
      <c r="FD51" s="49"/>
      <c r="FE51" s="49"/>
      <c r="FF51" s="59"/>
      <c r="FG51" s="11"/>
    </row>
    <row r="52" spans="1:272" x14ac:dyDescent="0.2">
      <c r="A52" s="115" t="s">
        <v>200</v>
      </c>
      <c r="B52" s="116">
        <v>35</v>
      </c>
      <c r="C52" s="116">
        <v>0</v>
      </c>
      <c r="D52" s="72">
        <f t="shared" si="4"/>
        <v>35</v>
      </c>
      <c r="E52" s="116">
        <v>9</v>
      </c>
      <c r="F52" s="116">
        <v>0</v>
      </c>
      <c r="G52" s="72">
        <f t="shared" si="5"/>
        <v>26</v>
      </c>
      <c r="H52" s="116">
        <v>7</v>
      </c>
      <c r="I52" s="117">
        <f t="shared" si="110"/>
        <v>25.714285714285712</v>
      </c>
      <c r="J52" s="1"/>
      <c r="L52" s="1"/>
      <c r="M52" s="1"/>
      <c r="O52" s="1"/>
      <c r="P52" s="1"/>
      <c r="R52" s="11"/>
      <c r="S52" s="125" t="s">
        <v>200</v>
      </c>
      <c r="T52" s="62">
        <v>33</v>
      </c>
      <c r="U52" s="62">
        <v>0</v>
      </c>
      <c r="V52" s="10">
        <f t="shared" si="10"/>
        <v>33</v>
      </c>
      <c r="W52" s="62">
        <v>11</v>
      </c>
      <c r="X52" s="62">
        <v>0</v>
      </c>
      <c r="Y52" s="74">
        <f t="shared" si="11"/>
        <v>22</v>
      </c>
      <c r="Z52" s="62">
        <v>8</v>
      </c>
      <c r="AA52" s="117">
        <f t="shared" si="108"/>
        <v>33.333333333333329</v>
      </c>
      <c r="EG52" s="49"/>
      <c r="EJ52" s="49"/>
      <c r="EK52" s="49"/>
      <c r="EL52" s="49"/>
      <c r="EM52" s="49"/>
      <c r="EN52" s="11"/>
      <c r="EO52" s="11"/>
      <c r="EP52" s="49"/>
      <c r="ES52" s="49"/>
      <c r="ET52" s="49"/>
      <c r="EU52" s="49"/>
      <c r="EV52" s="49"/>
      <c r="EW52" s="11"/>
      <c r="EX52" s="11"/>
      <c r="EY52" s="26"/>
      <c r="EZ52" s="26"/>
      <c r="FA52" s="26"/>
      <c r="FB52" s="49"/>
      <c r="FC52" s="49"/>
      <c r="FD52" s="49"/>
      <c r="FE52" s="49"/>
      <c r="FF52" s="59"/>
      <c r="FG52" s="11"/>
    </row>
    <row r="53" spans="1:272" x14ac:dyDescent="0.2">
      <c r="A53" s="115" t="s">
        <v>200</v>
      </c>
      <c r="B53" s="116">
        <v>37</v>
      </c>
      <c r="C53" s="116">
        <v>0</v>
      </c>
      <c r="D53" s="72">
        <f t="shared" si="4"/>
        <v>37</v>
      </c>
      <c r="E53" s="116">
        <v>14</v>
      </c>
      <c r="F53" s="116">
        <v>0</v>
      </c>
      <c r="G53" s="72">
        <f t="shared" si="5"/>
        <v>23</v>
      </c>
      <c r="H53" s="116">
        <v>10</v>
      </c>
      <c r="I53" s="117">
        <f t="shared" si="110"/>
        <v>37.837837837837839</v>
      </c>
      <c r="J53" s="1"/>
      <c r="K53" s="1"/>
      <c r="L53" s="1"/>
      <c r="M53" s="1"/>
      <c r="N53" s="1"/>
      <c r="O53" s="1"/>
      <c r="P53" s="1"/>
      <c r="Q53" s="1"/>
      <c r="R53" s="1"/>
      <c r="S53" s="125" t="s">
        <v>200</v>
      </c>
      <c r="T53" s="62">
        <v>30</v>
      </c>
      <c r="U53" s="62">
        <v>0</v>
      </c>
      <c r="V53" s="10">
        <f t="shared" si="10"/>
        <v>30</v>
      </c>
      <c r="W53" s="62">
        <v>8</v>
      </c>
      <c r="X53" s="62">
        <v>0</v>
      </c>
      <c r="Y53" s="74">
        <f t="shared" si="11"/>
        <v>22</v>
      </c>
      <c r="Z53" s="62">
        <v>8</v>
      </c>
      <c r="AA53" s="117">
        <f t="shared" si="108"/>
        <v>26.666666666666668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5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</row>
    <row r="54" spans="1:272" x14ac:dyDescent="0.2">
      <c r="A54" s="115" t="s">
        <v>200</v>
      </c>
      <c r="B54" s="116">
        <v>22</v>
      </c>
      <c r="C54" s="116">
        <v>0</v>
      </c>
      <c r="D54" s="72">
        <f t="shared" si="4"/>
        <v>22</v>
      </c>
      <c r="E54" s="116">
        <v>1</v>
      </c>
      <c r="F54" s="116">
        <v>0</v>
      </c>
      <c r="G54" s="72">
        <f t="shared" si="5"/>
        <v>21</v>
      </c>
      <c r="H54" s="116">
        <v>9</v>
      </c>
      <c r="I54" s="117">
        <f t="shared" si="110"/>
        <v>4.5454545454545459</v>
      </c>
      <c r="R54" s="11"/>
      <c r="S54" s="125" t="s">
        <v>200</v>
      </c>
      <c r="T54" s="62">
        <v>26</v>
      </c>
      <c r="U54" s="62">
        <v>0</v>
      </c>
      <c r="V54" s="10">
        <f t="shared" si="10"/>
        <v>26</v>
      </c>
      <c r="W54" s="62">
        <v>16</v>
      </c>
      <c r="X54" s="62">
        <v>0</v>
      </c>
      <c r="Y54" s="74">
        <f t="shared" si="11"/>
        <v>10</v>
      </c>
      <c r="Z54" s="62">
        <v>7</v>
      </c>
      <c r="AA54" s="117">
        <f t="shared" si="108"/>
        <v>61.53846153846154</v>
      </c>
    </row>
    <row r="55" spans="1:272" x14ac:dyDescent="0.2">
      <c r="A55" s="115" t="s">
        <v>200</v>
      </c>
      <c r="B55" s="116">
        <v>45</v>
      </c>
      <c r="C55" s="116">
        <v>0</v>
      </c>
      <c r="D55" s="72">
        <f t="shared" si="4"/>
        <v>45</v>
      </c>
      <c r="E55" s="116">
        <v>9</v>
      </c>
      <c r="F55" s="116">
        <v>0</v>
      </c>
      <c r="G55" s="72">
        <f t="shared" si="5"/>
        <v>36</v>
      </c>
      <c r="H55" s="116">
        <v>11</v>
      </c>
      <c r="I55" s="117">
        <f t="shared" si="110"/>
        <v>20</v>
      </c>
      <c r="R55" s="11"/>
      <c r="S55" s="125" t="s">
        <v>200</v>
      </c>
      <c r="T55" s="62">
        <v>27</v>
      </c>
      <c r="U55" s="62">
        <v>0</v>
      </c>
      <c r="V55" s="10">
        <f t="shared" si="10"/>
        <v>27</v>
      </c>
      <c r="W55" s="62">
        <v>10</v>
      </c>
      <c r="X55" s="62">
        <v>0</v>
      </c>
      <c r="Y55" s="74">
        <f t="shared" si="11"/>
        <v>17</v>
      </c>
      <c r="Z55" s="62">
        <v>5</v>
      </c>
      <c r="AA55" s="117">
        <f t="shared" si="108"/>
        <v>37.037037037037038</v>
      </c>
      <c r="EG55" s="58"/>
      <c r="EJ55" s="58"/>
      <c r="EK55" s="58"/>
      <c r="EL55" s="58"/>
      <c r="EM55" s="58"/>
      <c r="EN55" s="58"/>
      <c r="EO55" s="58"/>
      <c r="EP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</row>
    <row r="56" spans="1:272" x14ac:dyDescent="0.2">
      <c r="A56" s="115" t="s">
        <v>200</v>
      </c>
      <c r="B56" s="116">
        <v>34</v>
      </c>
      <c r="C56" s="116">
        <v>0</v>
      </c>
      <c r="D56" s="72">
        <f t="shared" si="4"/>
        <v>34</v>
      </c>
      <c r="E56" s="116">
        <v>7</v>
      </c>
      <c r="F56" s="116">
        <v>0</v>
      </c>
      <c r="G56" s="72">
        <f t="shared" si="5"/>
        <v>27</v>
      </c>
      <c r="H56" s="116">
        <v>12</v>
      </c>
      <c r="I56" s="117">
        <f t="shared" si="110"/>
        <v>20.588235294117645</v>
      </c>
      <c r="J56" s="17"/>
      <c r="R56" s="11"/>
      <c r="S56" s="125" t="s">
        <v>200</v>
      </c>
      <c r="T56" s="62">
        <v>29</v>
      </c>
      <c r="U56" s="62">
        <v>0</v>
      </c>
      <c r="V56" s="10">
        <f t="shared" si="10"/>
        <v>29</v>
      </c>
      <c r="W56" s="62">
        <v>12</v>
      </c>
      <c r="X56" s="62">
        <v>0</v>
      </c>
      <c r="Y56" s="74">
        <f t="shared" si="11"/>
        <v>17</v>
      </c>
      <c r="Z56" s="62">
        <v>12</v>
      </c>
      <c r="AA56" s="117">
        <f t="shared" si="108"/>
        <v>41.379310344827587</v>
      </c>
      <c r="EG56" s="33"/>
      <c r="EJ56" s="33"/>
      <c r="EK56" s="33"/>
      <c r="EL56" s="33"/>
      <c r="EM56" s="33"/>
      <c r="EN56" s="11"/>
      <c r="EO56" s="11"/>
      <c r="EP56" s="33"/>
      <c r="ES56" s="33"/>
      <c r="ET56" s="33"/>
      <c r="EU56" s="33"/>
      <c r="EV56" s="33"/>
      <c r="EW56" s="11"/>
      <c r="EX56" s="11"/>
      <c r="EY56" s="33"/>
      <c r="EZ56" s="33"/>
      <c r="FA56" s="33"/>
      <c r="FB56" s="33"/>
      <c r="FC56" s="33"/>
      <c r="FD56" s="33"/>
      <c r="FE56" s="33"/>
      <c r="FF56" s="60"/>
      <c r="FG56" s="60"/>
    </row>
    <row r="57" spans="1:272" x14ac:dyDescent="0.2">
      <c r="A57" s="118" t="s">
        <v>201</v>
      </c>
      <c r="B57" s="119">
        <v>43</v>
      </c>
      <c r="C57" s="119">
        <v>0</v>
      </c>
      <c r="D57" s="72">
        <f t="shared" si="4"/>
        <v>43</v>
      </c>
      <c r="E57" s="119">
        <v>13</v>
      </c>
      <c r="F57" s="119">
        <v>0</v>
      </c>
      <c r="G57" s="72">
        <f t="shared" si="5"/>
        <v>30</v>
      </c>
      <c r="H57" s="119">
        <v>6</v>
      </c>
      <c r="I57" s="105">
        <f t="shared" si="110"/>
        <v>30.232558139534881</v>
      </c>
      <c r="R57" s="11"/>
      <c r="S57" s="1"/>
      <c r="T57" s="86"/>
      <c r="U57" s="87"/>
      <c r="V57" s="87"/>
      <c r="W57" s="86"/>
      <c r="X57" s="87"/>
      <c r="Y57" s="87"/>
      <c r="Z57" s="86"/>
      <c r="AA57" s="87"/>
      <c r="CC57" s="17"/>
      <c r="EG57" s="33"/>
      <c r="EJ57" s="33"/>
      <c r="EK57" s="33"/>
      <c r="EL57" s="33"/>
      <c r="EM57" s="33"/>
      <c r="EN57" s="11"/>
      <c r="EO57" s="11"/>
      <c r="EP57" s="33"/>
      <c r="ES57" s="33"/>
      <c r="ET57" s="33"/>
      <c r="EU57" s="33"/>
      <c r="EV57" s="33"/>
      <c r="EW57" s="11"/>
      <c r="EX57" s="11"/>
      <c r="EY57" s="33"/>
      <c r="EZ57" s="33"/>
      <c r="FA57" s="33"/>
      <c r="FB57" s="33"/>
      <c r="FC57" s="33"/>
      <c r="FD57" s="33"/>
      <c r="FE57" s="33"/>
      <c r="FF57" s="60"/>
      <c r="FG57" s="60"/>
    </row>
    <row r="58" spans="1:272" x14ac:dyDescent="0.2">
      <c r="A58" s="118" t="s">
        <v>201</v>
      </c>
      <c r="B58" s="119">
        <v>39</v>
      </c>
      <c r="C58" s="119">
        <v>0</v>
      </c>
      <c r="D58" s="72">
        <f t="shared" si="4"/>
        <v>39</v>
      </c>
      <c r="E58" s="119">
        <v>8</v>
      </c>
      <c r="F58" s="119">
        <v>0</v>
      </c>
      <c r="G58" s="72">
        <f t="shared" si="5"/>
        <v>31</v>
      </c>
      <c r="H58" s="119">
        <v>8</v>
      </c>
      <c r="I58" s="105">
        <f t="shared" si="110"/>
        <v>20.512820512820511</v>
      </c>
      <c r="R58" s="11"/>
      <c r="S58" s="1"/>
      <c r="AA58" s="11"/>
      <c r="AK58" s="1"/>
      <c r="AL58" s="1"/>
      <c r="AM58" s="1"/>
      <c r="AN58" s="1"/>
      <c r="AO58" s="1"/>
      <c r="AP58" s="1"/>
      <c r="AQ58" s="1"/>
      <c r="AR58" s="1"/>
      <c r="AS58" s="1"/>
      <c r="EG58" s="33"/>
      <c r="EJ58" s="33"/>
      <c r="EK58" s="33"/>
      <c r="EL58" s="33"/>
      <c r="EM58" s="33"/>
      <c r="EN58" s="11"/>
      <c r="EO58" s="11"/>
      <c r="EP58" s="33"/>
      <c r="ES58" s="33"/>
      <c r="ET58" s="33"/>
      <c r="EU58" s="33"/>
      <c r="EV58" s="33"/>
      <c r="EW58" s="11"/>
      <c r="EX58" s="11"/>
      <c r="EY58" s="33"/>
      <c r="EZ58" s="33"/>
      <c r="FA58" s="33"/>
      <c r="FB58" s="33"/>
      <c r="FC58" s="33"/>
      <c r="FD58" s="33"/>
      <c r="FE58" s="33"/>
      <c r="FF58" s="60"/>
      <c r="FG58" s="60"/>
    </row>
    <row r="59" spans="1:272" x14ac:dyDescent="0.2">
      <c r="A59" s="118" t="s">
        <v>201</v>
      </c>
      <c r="B59" s="119">
        <v>44</v>
      </c>
      <c r="C59" s="119">
        <v>0</v>
      </c>
      <c r="D59" s="72">
        <f t="shared" si="4"/>
        <v>44</v>
      </c>
      <c r="E59" s="119">
        <v>7</v>
      </c>
      <c r="F59" s="119">
        <v>0</v>
      </c>
      <c r="G59" s="72">
        <f t="shared" si="5"/>
        <v>37</v>
      </c>
      <c r="H59" s="119">
        <v>7</v>
      </c>
      <c r="I59" s="105">
        <f t="shared" si="110"/>
        <v>15.909090909090908</v>
      </c>
      <c r="R59" s="11"/>
      <c r="EG59" s="33"/>
      <c r="EJ59" s="33"/>
      <c r="EK59" s="33"/>
      <c r="EL59" s="33"/>
      <c r="EM59" s="33"/>
      <c r="EN59" s="11"/>
      <c r="EO59" s="11"/>
      <c r="EP59" s="33"/>
      <c r="ES59" s="33"/>
      <c r="ET59" s="33"/>
      <c r="EU59" s="33"/>
      <c r="EV59" s="33"/>
      <c r="EW59" s="11"/>
      <c r="EX59" s="11"/>
      <c r="EY59" s="33"/>
      <c r="EZ59" s="33"/>
      <c r="FA59" s="33"/>
      <c r="FB59" s="33"/>
      <c r="FC59" s="33"/>
      <c r="FD59" s="33"/>
      <c r="FE59" s="33"/>
      <c r="FF59" s="60"/>
      <c r="FG59" s="60"/>
    </row>
    <row r="60" spans="1:272" x14ac:dyDescent="0.2">
      <c r="R60" s="11"/>
      <c r="AS60" s="31"/>
      <c r="EG60" s="33"/>
      <c r="EJ60" s="33"/>
      <c r="EK60" s="33"/>
      <c r="EL60" s="33"/>
      <c r="EM60" s="33"/>
      <c r="EN60" s="11"/>
      <c r="EO60" s="11"/>
      <c r="EP60" s="33"/>
      <c r="ES60" s="33"/>
      <c r="ET60" s="33"/>
      <c r="EU60" s="33"/>
      <c r="EV60" s="33"/>
      <c r="EW60" s="11"/>
      <c r="EX60" s="11"/>
      <c r="EY60" s="33"/>
      <c r="EZ60" s="33"/>
      <c r="FA60" s="33"/>
      <c r="FB60" s="33"/>
      <c r="FC60" s="33"/>
      <c r="FD60" s="33"/>
      <c r="FE60" s="33"/>
      <c r="FF60" s="60"/>
      <c r="FG60" s="60"/>
    </row>
    <row r="61" spans="1:272" x14ac:dyDescent="0.2">
      <c r="EG61" s="33"/>
      <c r="EJ61" s="33"/>
      <c r="EK61" s="33"/>
      <c r="EL61" s="33"/>
      <c r="EM61" s="33"/>
      <c r="EN61" s="11"/>
      <c r="EO61" s="11"/>
      <c r="EP61" s="33"/>
      <c r="ES61" s="33"/>
      <c r="ET61" s="33"/>
      <c r="EU61" s="33"/>
      <c r="EV61" s="33"/>
      <c r="EW61" s="11"/>
      <c r="EX61" s="11"/>
      <c r="EY61" s="33"/>
      <c r="EZ61" s="33"/>
      <c r="FA61" s="33"/>
      <c r="FB61" s="33"/>
      <c r="FC61" s="33"/>
      <c r="FD61" s="33"/>
      <c r="FE61" s="33"/>
      <c r="FF61" s="60"/>
      <c r="FG61" s="60"/>
    </row>
    <row r="62" spans="1:272" x14ac:dyDescent="0.2">
      <c r="I62" s="29"/>
      <c r="R62" s="17"/>
      <c r="EG62" s="33"/>
      <c r="EJ62" s="33"/>
      <c r="EK62" s="33"/>
      <c r="EL62" s="33"/>
      <c r="EM62" s="33"/>
      <c r="EN62" s="11"/>
      <c r="EO62" s="11"/>
      <c r="EP62" s="33"/>
      <c r="ES62" s="33"/>
      <c r="ET62" s="33"/>
      <c r="EU62" s="33"/>
      <c r="EV62" s="33"/>
      <c r="EW62" s="11"/>
      <c r="EX62" s="11"/>
      <c r="EY62" s="33"/>
      <c r="EZ62" s="33"/>
      <c r="FA62" s="33"/>
      <c r="FB62" s="33"/>
      <c r="FC62" s="33"/>
      <c r="FD62" s="33"/>
      <c r="FE62" s="33"/>
      <c r="FF62" s="60"/>
      <c r="FG62" s="60"/>
    </row>
    <row r="63" spans="1:272" x14ac:dyDescent="0.2">
      <c r="EG63" s="33"/>
      <c r="EJ63" s="33"/>
      <c r="EK63" s="33"/>
      <c r="EL63" s="33"/>
      <c r="EM63" s="33"/>
      <c r="EN63" s="11"/>
      <c r="EO63" s="11"/>
      <c r="EP63" s="33"/>
      <c r="ES63" s="33"/>
      <c r="ET63" s="33"/>
      <c r="EU63" s="33"/>
      <c r="EV63" s="33"/>
      <c r="EW63" s="11"/>
      <c r="EX63" s="11"/>
      <c r="EY63" s="33"/>
      <c r="EZ63" s="33"/>
      <c r="FA63" s="33"/>
      <c r="FB63" s="33"/>
      <c r="FC63" s="33"/>
      <c r="FD63" s="33"/>
      <c r="FE63" s="33"/>
      <c r="FF63" s="60"/>
      <c r="FG63" s="60"/>
    </row>
    <row r="64" spans="1:272" x14ac:dyDescent="0.2">
      <c r="EG64" s="33"/>
      <c r="EJ64" s="33"/>
      <c r="EK64" s="33"/>
      <c r="EL64" s="33"/>
      <c r="EM64" s="33"/>
      <c r="EN64" s="11"/>
      <c r="EO64" s="11"/>
      <c r="EP64" s="33"/>
      <c r="ES64" s="33"/>
      <c r="ET64" s="33"/>
      <c r="EU64" s="33"/>
      <c r="EV64" s="33"/>
      <c r="EW64" s="11"/>
      <c r="EX64" s="11"/>
      <c r="EY64" s="33"/>
      <c r="EZ64" s="33"/>
      <c r="FA64" s="33"/>
      <c r="FB64" s="33"/>
      <c r="FC64" s="33"/>
      <c r="FD64" s="33"/>
      <c r="FE64" s="33"/>
      <c r="FF64" s="60"/>
      <c r="FG64" s="60"/>
      <c r="JL64" s="1"/>
    </row>
    <row r="65" spans="9:271" x14ac:dyDescent="0.2">
      <c r="K65" s="1"/>
      <c r="L65" s="1"/>
      <c r="M65" s="1"/>
      <c r="N65" s="1"/>
      <c r="O65" s="1"/>
      <c r="P65" s="1"/>
      <c r="Q65" s="1"/>
      <c r="R65" s="85"/>
      <c r="EG65" s="33"/>
      <c r="EJ65" s="33"/>
      <c r="EK65" s="33"/>
      <c r="EL65" s="33"/>
      <c r="EM65" s="33"/>
      <c r="EN65" s="11"/>
      <c r="EO65" s="11"/>
      <c r="EP65" s="33"/>
      <c r="EQ65" s="33"/>
      <c r="ER65" s="33"/>
      <c r="ES65" s="33"/>
      <c r="ET65" s="33"/>
      <c r="EU65" s="33"/>
      <c r="EV65" s="33"/>
      <c r="EW65" s="11"/>
      <c r="EX65" s="11"/>
      <c r="EY65" s="33"/>
      <c r="EZ65" s="33"/>
      <c r="FA65" s="33"/>
      <c r="FB65" s="33"/>
      <c r="FC65" s="33"/>
      <c r="FD65" s="33"/>
      <c r="FE65" s="33"/>
      <c r="FF65" s="60"/>
      <c r="FG65" s="60"/>
    </row>
    <row r="66" spans="9:271" x14ac:dyDescent="0.2">
      <c r="FF66" s="17"/>
      <c r="IE66" s="1"/>
      <c r="IF66" s="1"/>
      <c r="IG66" s="1"/>
      <c r="IH66" s="1"/>
      <c r="II66" s="1"/>
      <c r="IJ66" s="1"/>
      <c r="IK66" s="1"/>
      <c r="IL66" s="1"/>
      <c r="IM66" s="1"/>
    </row>
    <row r="67" spans="9:271" x14ac:dyDescent="0.2">
      <c r="W67" s="31"/>
      <c r="X67" s="31"/>
      <c r="Y67" s="31"/>
      <c r="Z67" s="31"/>
      <c r="AA67" s="31"/>
      <c r="EW67" s="17"/>
      <c r="EX67" s="17"/>
    </row>
    <row r="68" spans="9:271" x14ac:dyDescent="0.2">
      <c r="I68" s="29"/>
      <c r="R68" s="31"/>
      <c r="FF68" s="6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</row>
    <row r="69" spans="9:271" x14ac:dyDescent="0.2">
      <c r="AA69" s="17"/>
      <c r="FF69" s="6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</row>
    <row r="71" spans="9:271" x14ac:dyDescent="0.2">
      <c r="HJ71" s="1"/>
      <c r="HK71" s="1"/>
      <c r="HL71" s="1"/>
      <c r="HM71" s="1"/>
      <c r="HN71" s="1"/>
      <c r="HO71" s="1"/>
      <c r="HP71" s="1"/>
      <c r="HQ71" s="1"/>
      <c r="HR71" s="1"/>
    </row>
    <row r="76" spans="9:271" x14ac:dyDescent="0.2">
      <c r="HT76" s="1"/>
      <c r="HU76" s="1"/>
      <c r="HV76" s="1"/>
      <c r="HW76" s="1"/>
      <c r="HX76" s="1"/>
      <c r="HY76" s="1"/>
      <c r="HZ76" s="1"/>
      <c r="IA76" s="1"/>
      <c r="IB76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2025-07-18T14:25:43Z</dcterms:created>
  <dcterms:modified xsi:type="dcterms:W3CDTF">2026-03-29T21:59:48Z</dcterms:modified>
</cp:coreProperties>
</file>